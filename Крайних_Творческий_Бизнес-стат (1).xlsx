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firstSheet="1" activeTab="1"/>
  </bookViews>
  <sheets>
    <sheet name="Задание 1" sheetId="1" r:id="rId1"/>
    <sheet name="Задание 2" sheetId="3" r:id="rId2"/>
    <sheet name="Задание 3" sheetId="4" r:id="rId3"/>
    <sheet name="Задание  4" sheetId="7" r:id="rId4"/>
    <sheet name="Задание 5" sheetId="5" r:id="rId5"/>
    <sheet name="Приложение"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<sst xmlns="http://schemas.openxmlformats.org/spreadsheetml/2006/main" count="1424" uniqueCount="416">
  <si>
    <t>ФИО</t>
  </si>
  <si>
    <t>субьект</t>
  </si>
  <si>
    <t>Крайних Анастасия Владимировна БИ04</t>
  </si>
  <si>
    <t xml:space="preserve">Архангельская область </t>
  </si>
  <si>
    <t>1. Оценить динамику и структуру инвестиций (темп роста. прироста средние показатели, структуру и ее изменение).</t>
  </si>
  <si>
    <t>Анализ динамики инвестиций в сельское, лесное хозяйство, охоту, рыболовство и рыбоводство</t>
  </si>
  <si>
    <t>Год</t>
  </si>
  <si>
    <t>Инвестиции в отрасль, тыс. руб.</t>
  </si>
  <si>
    <t xml:space="preserve">Абс. прирост, тыс. руб. </t>
  </si>
  <si>
    <t>Темп роста, %</t>
  </si>
  <si>
    <t>Базинсый темп роста, %</t>
  </si>
  <si>
    <t>Всего по обследуемым видам экономической деятельности</t>
  </si>
  <si>
    <t xml:space="preserve">Темп роста по региону,% </t>
  </si>
  <si>
    <t xml:space="preserve">Коэффициент опережения, Коп </t>
  </si>
  <si>
    <t>2017</t>
  </si>
  <si>
    <t>-</t>
  </si>
  <si>
    <t>2018</t>
  </si>
  <si>
    <t>2019</t>
  </si>
  <si>
    <t>2020</t>
  </si>
  <si>
    <t>2021</t>
  </si>
  <si>
    <t>2022</t>
  </si>
  <si>
    <t>2023</t>
  </si>
  <si>
    <t>2024</t>
  </si>
  <si>
    <t>2025</t>
  </si>
  <si>
    <t>Среднегодовой объем инвестиций, тыс. руб</t>
  </si>
  <si>
    <t>Среднегодовой темп роста, %</t>
  </si>
  <si>
    <t>С 2017 по 2021 год инвестиции выросли с 4,67 млрд до пиковых 11,69 млрд руб. В 2022 году произошло резкое падение до 4,53 млрд руб., затем в 2023–2024 годах последовало восстановление до 11,09 млрд руб., однако в 2025 году снова зафиксировано снижение до 9,46 млрд руб. Коэффициент опережения также демонстрирует нестабильность: в 2017–2020  отрасль опережала регион (1,1–1,68), в 2021 г. резко отстала (0,37), в 2022 г. достигла пика (2,07), а в 2023–2024 гг. снова опустилась ниже 1. Таким образом, отрасль развивается скачкообразно: после обвала 2022 года последовало восстановление, но устойчивого долгосрочного тренда нет, а инвестиционная активность остаётся  волатильной.</t>
  </si>
  <si>
    <t xml:space="preserve">Анализ структуры </t>
  </si>
  <si>
    <t/>
  </si>
  <si>
    <t>Сельское, лесное хозяйство, охота, рыболовство и рыбоводство</t>
  </si>
  <si>
    <t>Отрасль от среднего, п.п</t>
  </si>
  <si>
    <t xml:space="preserve">Сельское, лесное хозяйство, охота, рыболовство и рыбоводство модернизируются заметно медленнее, чем в среднем по региону. В 2019–2021 годах доля инвестиций в обновление отрасли была существенно ниже областного уровня (отставание доходило до –12 п.п. в 2021 и 2023–2024 годах). В 2022 году показатель неожиданно взлетел (+11 п.п. к среднему), но уже в 2023 году рухнул обратно до 3% (–12 п.п.). К 2024 году доля составила 5%, сохранив отставание в –12 п.п. Отрасль показывает высокую волатильность вложений в модернизацию и продолжает отставать от среднерегионального уровня.
</t>
  </si>
  <si>
    <t>Коэффициент Гатева</t>
  </si>
  <si>
    <t>Структура практически не изменилась</t>
  </si>
  <si>
    <t>Анализ структуры инвестиций по направлениям вложений</t>
  </si>
  <si>
    <t xml:space="preserve">Доля инвестиций в модернизацию и реконструкцию </t>
  </si>
  <si>
    <t>Остальное</t>
  </si>
  <si>
    <t>Разность</t>
  </si>
  <si>
    <t>2. Оценить показатели состояния и динамики основных фондов.</t>
  </si>
  <si>
    <t>Стоимость ОФ на конец года, тыс. руб.</t>
  </si>
  <si>
    <t xml:space="preserve">Индекс изменения стоимости основных фондов в постоянных ценах </t>
  </si>
  <si>
    <t>В постоянных ценах, тыс. руб.</t>
  </si>
  <si>
    <t>Ввод новых ОФ, тыс. руб.</t>
  </si>
  <si>
    <t>Коэффициент обновления, %</t>
  </si>
  <si>
    <t>Темп роста базинсый, %</t>
  </si>
  <si>
    <t>Среднегодовой темп роста</t>
  </si>
  <si>
    <t>Среднегодовой темп прироста, %</t>
  </si>
  <si>
    <t xml:space="preserve">
Стоимость основных фондов отрасли в постоянных ценах выросла с 12 млрд руб. в 2017 году до 48,5 млрд руб. в 2024 году. Коэффициент обновления в 2017–2021 годах был высоким (39–56%), что говорит об активном вводе новых фондов и модернизации. Однако в 2022 году он резко упал до 12% — минимального значения за весь период. К 2023–2024 годам показатель частично восстановился до 23–28%, но так и не вернулся на уровень предыдущих лет. Отрасль наращивает фонды, но темпы обновления замедлились после 2021 года.</t>
  </si>
  <si>
    <t>3. Проанализировать динамику фондовооружености и фондоемкости. Оценитt влияние факторов (численности занятых и стоимости ОФ).</t>
  </si>
  <si>
    <t>Среднегодовая численность занятых в экономике, тыс. чел.</t>
  </si>
  <si>
    <t xml:space="preserve">Валовой региональный продукт в основных ценах, тыс. руб. </t>
  </si>
  <si>
    <t>Фондовооруженность(ФВ), руб./чел.</t>
  </si>
  <si>
    <t>Фондоемкость(ФЕ), руб./руб.</t>
  </si>
  <si>
    <t>Фондоотдача(ФО), руб./руб.</t>
  </si>
  <si>
    <t>Производительность, руб./чел. тыс. руб.</t>
  </si>
  <si>
    <t>Темп роста ФВ, %</t>
  </si>
  <si>
    <t>Темп роста ФЕ, %</t>
  </si>
  <si>
    <t>Темп роста ФО, %</t>
  </si>
  <si>
    <t>Анализ влияния факторов</t>
  </si>
  <si>
    <t>Выявление влияния стоимости ОФ</t>
  </si>
  <si>
    <t>Влияние численности занятых</t>
  </si>
  <si>
    <t>Общее изменение выпуска, ΔQ тыс. руб.</t>
  </si>
  <si>
    <t>Влияние изменения стоимости ОФ,ΔQоф</t>
  </si>
  <si>
    <t xml:space="preserve">Влияние изменения ФО, ,ΔQфо </t>
  </si>
  <si>
    <t>Влияние роста численности ΔQчисл​</t>
  </si>
  <si>
    <t>Влияние роста производительностиΔQПТ</t>
  </si>
  <si>
    <r>
      <rPr>
        <sz val="10"/>
        <rFont val="Arial"/>
        <charset val="0"/>
      </rPr>
      <t>Δ</t>
    </r>
    <r>
      <rPr>
        <i/>
        <sz val="10"/>
        <rFont val="KaTeX_Math"/>
        <charset val="0"/>
      </rPr>
      <t>Q</t>
    </r>
    <r>
      <rPr>
        <sz val="8.5"/>
        <rFont val="Arial"/>
        <charset val="0"/>
      </rPr>
      <t>числ</t>
    </r>
    <r>
      <rPr>
        <sz val="10"/>
        <rFont val="Arial"/>
        <charset val="0"/>
      </rPr>
      <t>​=(Ч</t>
    </r>
    <r>
      <rPr>
        <sz val="8.5"/>
        <rFont val="Arial"/>
        <charset val="0"/>
      </rPr>
      <t>1</t>
    </r>
    <r>
      <rPr>
        <sz val="10"/>
        <rFont val="Arial"/>
        <charset val="0"/>
      </rPr>
      <t>​−Ч</t>
    </r>
    <r>
      <rPr>
        <sz val="8.5"/>
        <rFont val="Arial"/>
        <charset val="0"/>
      </rPr>
      <t>0</t>
    </r>
    <r>
      <rPr>
        <sz val="10"/>
        <rFont val="Arial"/>
        <charset val="0"/>
      </rPr>
      <t>​)×ПТ</t>
    </r>
    <r>
      <rPr>
        <sz val="8.5"/>
        <color rgb="FFF9FAFB"/>
        <rFont val="Times New Roman"/>
        <charset val="0"/>
      </rPr>
      <t>0</t>
    </r>
    <r>
      <rPr>
        <sz val="10"/>
        <color rgb="FFF9FAFB"/>
        <rFont val="Times New Roman"/>
        <charset val="0"/>
      </rPr>
      <t>​</t>
    </r>
  </si>
  <si>
    <t>Проверка</t>
  </si>
  <si>
    <r>
      <rPr>
        <sz val="10"/>
        <color theme="1"/>
        <rFont val="Arial"/>
        <charset val="0"/>
      </rPr>
      <t>Δ</t>
    </r>
    <r>
      <rPr>
        <i/>
        <sz val="10"/>
        <color theme="1"/>
        <rFont val="Arial"/>
        <charset val="0"/>
      </rPr>
      <t>Q</t>
    </r>
    <r>
      <rPr>
        <sz val="10"/>
        <color theme="1"/>
        <rFont val="Arial"/>
        <charset val="0"/>
      </rPr>
      <t>ПТ​=Ч1​×(ПТ1​−ПТ0​)</t>
    </r>
  </si>
  <si>
    <t xml:space="preserve">ΔQ=ΔQоф+ΔQфо </t>
  </si>
  <si>
    <t>ΔQ ФО =ОФ1×(ФО1−ФО0)</t>
  </si>
  <si>
    <r>
      <rPr>
        <sz val="10"/>
        <rFont val="Arial"/>
        <charset val="0"/>
      </rPr>
      <t>Δ</t>
    </r>
    <r>
      <rPr>
        <i/>
        <sz val="10"/>
        <rFont val="KaTeX_Math"/>
        <charset val="0"/>
      </rPr>
      <t>Q</t>
    </r>
    <r>
      <rPr>
        <sz val="8.5"/>
        <rFont val="Arial"/>
        <charset val="0"/>
      </rPr>
      <t>ОФ</t>
    </r>
    <r>
      <rPr>
        <sz val="10"/>
        <rFont val="Arial"/>
        <charset val="0"/>
      </rPr>
      <t>​=(ОФ</t>
    </r>
    <r>
      <rPr>
        <sz val="8.5"/>
        <rFont val="Arial"/>
        <charset val="0"/>
      </rPr>
      <t>1</t>
    </r>
    <r>
      <rPr>
        <sz val="10"/>
        <rFont val="Arial"/>
        <charset val="0"/>
      </rPr>
      <t>​−ОФ</t>
    </r>
    <r>
      <rPr>
        <sz val="8.5"/>
        <rFont val="Arial"/>
        <charset val="0"/>
      </rPr>
      <t>0</t>
    </r>
    <r>
      <rPr>
        <sz val="10"/>
        <rFont val="Arial"/>
        <charset val="0"/>
      </rPr>
      <t>​)×ФО</t>
    </r>
    <r>
      <rPr>
        <sz val="8.5"/>
        <color rgb="FFF9FAFB"/>
        <rFont val="Times New Roman"/>
        <charset val="0"/>
      </rPr>
      <t>0</t>
    </r>
    <r>
      <rPr>
        <sz val="10"/>
        <color rgb="FFF9FAFB"/>
        <rFont val="Times New Roman"/>
        <charset val="0"/>
      </rPr>
      <t>​</t>
    </r>
  </si>
  <si>
    <t>За 2017–2024 годы фондовооруженность выросла в 4,8 раза (до 2 544 тыс. руб./чел.) за счёт роста ОФ и сокращения занятых. Однако фондоемкость увеличилась в 2,3 раза (до 1,13), что говорит о снижении эффективности использования фондов. Общий прирост выпуска (16,7 млрд руб.) обеспечен только экстенсивным фактором (рост ОФ добавил 87,1 млрд руб., но падение фондоотдачи сняло 70,4 млрд ру). Сокращение численности снизило выпуск на 6,4 млрд руб., а рост производительности труда добавил 23,1 млрд руб.</t>
  </si>
  <si>
    <t>4. Оценить рынок труда (уровень занятости, безработицы, оценить тесноту связи между уровнем занятости и средней заработной платой); оценить динамику самозанятости населения. выявить основную тенденцию изменения численности населения методом аналитического выравнивания по линейной функции и рассчитайте перспективную численность занятых в регионе к 2025 г. Рассчитайте по данным о распределении населения по возрастным группам: средний возраст одного жителя страны; моду; медиану; абсолютные и относительные показатели вариации, расчитайте среднюю квадратическую ошибку.</t>
  </si>
  <si>
    <t xml:space="preserve">Год </t>
  </si>
  <si>
    <t>Численность занятых, чел.</t>
  </si>
  <si>
    <t>Численность безработных, чел.</t>
  </si>
  <si>
    <t>Численность рабочей силы, чел.</t>
  </si>
  <si>
    <t>Численность населения (15-72), чел.</t>
  </si>
  <si>
    <t>Уровень безработицы, %</t>
  </si>
  <si>
    <t>Уровень занятости, %</t>
  </si>
  <si>
    <t>Численность самозанятых, чел.</t>
  </si>
  <si>
    <t>Темп роста самозанятых, %</t>
  </si>
  <si>
    <t>Темп роста уровня безработицы, %</t>
  </si>
  <si>
    <t>Темп роста уровня занятости, %</t>
  </si>
  <si>
    <t xml:space="preserve">Значения численности самозанятых с  2017 по 2019 отстуствуют, т.к специальный налоговый режим для самозанятых (налог на профессиональный доход, НПД) был введён в регионе с 1 июля 2020 года. </t>
  </si>
  <si>
    <t>Среднемесячная номинальная начисленная заработная плата Y, руб.</t>
  </si>
  <si>
    <t>Уровень занятости X, %</t>
  </si>
  <si>
    <t>r</t>
  </si>
  <si>
    <t>=</t>
  </si>
  <si>
    <t>Коэффициент корреляции рассчитаный с помощью формулы (Корелл)</t>
  </si>
  <si>
    <t>В 2017–2024 годах уровень занятости в Архангельской области колебался от 41% до 47%, достигнув минимума в пандемийном 2020 году и максимума в 2021 году. Уровень безработицы в 2020 году резко вырос до 4,37%, но затем устойчиво снижался до исторического минимума 0,84% в 2024 году, что свидетельствует о практически полной занятости в регионе. Коэффициент корреляции между уровнем занятости и средней заработной платой составил -0.32, что указывает на слабую обратную связь. Динамика самозанятости показывает уверенный рост. После 2020 (в этом году был введен режим) количество самозанятх выросло на 250%, а затем скорость роста уменьшилась, но рост все равно сохранился.</t>
  </si>
  <si>
    <t>Уравнение тренда изменения численности населения</t>
  </si>
  <si>
    <t>Порядковый номер t</t>
  </si>
  <si>
    <t>Численность населения Y, чел.</t>
  </si>
  <si>
    <t>Численность занятых Y1, чел.</t>
  </si>
  <si>
    <t>Y*t</t>
  </si>
  <si>
    <t>Y1*t</t>
  </si>
  <si>
    <t>t^2</t>
  </si>
  <si>
    <t>Y^</t>
  </si>
  <si>
    <t>*</t>
  </si>
  <si>
    <t>t</t>
  </si>
  <si>
    <t>Уравнение тренда изменения численности занятых в регионе</t>
  </si>
  <si>
    <t>Итого</t>
  </si>
  <si>
    <t>Перспективная численность занятых к 2025:</t>
  </si>
  <si>
    <t>a0</t>
  </si>
  <si>
    <t>a1</t>
  </si>
  <si>
    <t>числ.населения</t>
  </si>
  <si>
    <t>Построенные линейные модели выявили устойчивую тенденцию к снижению как численности населения, так и численности занятых в Архангельской области в 2017–2024 годах. Ежегодная убыль в среднем составляет 10,4 тыс. человек. Ежегодное сокращение занятых 7,6 тыс. человек, перспективная численность занятых на 2025 год 444 тыс. чел.
Обе тенденции согласованы и подтверждают продолжающийся процесс депопуляции региона и сужения рынка труда.</t>
  </si>
  <si>
    <t>числ.занятых</t>
  </si>
  <si>
    <t>Численность населения Y, чел. (факт)</t>
  </si>
  <si>
    <t>Численность населения Y^, чел. (тренд)</t>
  </si>
  <si>
    <t>Численность занятых Y1(факт), чел.</t>
  </si>
  <si>
    <t>Численность занятых Y1^(тренд), чел.</t>
  </si>
  <si>
    <t>Возрастная группа, лет</t>
  </si>
  <si>
    <t>Середина интервала, (xᵢ)</t>
  </si>
  <si>
    <t>Численность (fᵢ), чел.</t>
  </si>
  <si>
    <t>Xi*fi</t>
  </si>
  <si>
    <t>Накопленная частота, S</t>
  </si>
  <si>
    <t>(Xi-X^)*fi</t>
  </si>
  <si>
    <t>(Xi-X^)^2*fi</t>
  </si>
  <si>
    <t>0–4</t>
  </si>
  <si>
    <t>5–9</t>
  </si>
  <si>
    <t>X^(2019)</t>
  </si>
  <si>
    <t>Абсолютные показатели вариации</t>
  </si>
  <si>
    <t xml:space="preserve">Значение </t>
  </si>
  <si>
    <t>10–14</t>
  </si>
  <si>
    <t>X^(2024)</t>
  </si>
  <si>
    <t>Размах вариации, R</t>
  </si>
  <si>
    <t>15–19</t>
  </si>
  <si>
    <t>Средний возраст</t>
  </si>
  <si>
    <t>Среднее линейное отклонение, d</t>
  </si>
  <si>
    <t>20–24</t>
  </si>
  <si>
    <r>
      <rPr>
        <sz val="10"/>
        <rFont val="Arial"/>
        <charset val="0"/>
      </rPr>
      <t xml:space="preserve">Дисперсия, </t>
    </r>
    <r>
      <rPr>
        <sz val="12"/>
        <rFont val="Arial"/>
        <charset val="0"/>
      </rPr>
      <t>σ^
2</t>
    </r>
    <r>
      <rPr>
        <sz val="10"/>
        <rFont val="Arial"/>
        <charset val="0"/>
      </rPr>
      <t xml:space="preserve">
 </t>
    </r>
  </si>
  <si>
    <t xml:space="preserve">За 2017–2024 годы средний возраст населения вырос с 39,45 до 41,14 года, медиана — с 40,22 до 41,84 года, мода — с 33,56 до 39,04 года. Рост всех трёх показателей подтверждает устойчивую тенденцию к старению населения.  Коэффициент вариации в 2024 году составил 54,95%, что превышает порог 33% и свидетельствует о неоднородности возрастной структуры. в регионе представлены все возрастные группы от младенцев до долгожителей. Высокий размах вариации (99 лет) и коэффициент осцилляции (240,6%) подтверждают большой разброс возрастов. При этом высокая точность расчётов (ошибка &lt; 1) делает выводы надёжными. </t>
  </si>
  <si>
    <t>25–29</t>
  </si>
  <si>
    <t>Среднеквадратическое отклонение, σ</t>
  </si>
  <si>
    <t>30–34</t>
  </si>
  <si>
    <t>35–39</t>
  </si>
  <si>
    <t>Mo(2019)</t>
  </si>
  <si>
    <t>40–44</t>
  </si>
  <si>
    <t>Mo(2024)</t>
  </si>
  <si>
    <t>45–49</t>
  </si>
  <si>
    <t>Мода</t>
  </si>
  <si>
    <t xml:space="preserve">Относительные показатели вариации </t>
  </si>
  <si>
    <t>Значение</t>
  </si>
  <si>
    <t>50–54</t>
  </si>
  <si>
    <t>Коэффициент вариации , V</t>
  </si>
  <si>
    <t>55–59</t>
  </si>
  <si>
    <t>Коэффициент осцилляции, Vr</t>
  </si>
  <si>
    <t>60–64</t>
  </si>
  <si>
    <t>Коэффициент линейной вариации, Vd</t>
  </si>
  <si>
    <t>65–69</t>
  </si>
  <si>
    <t>70–74</t>
  </si>
  <si>
    <t>Me(2019)</t>
  </si>
  <si>
    <t>75–79</t>
  </si>
  <si>
    <t>Me(2024)</t>
  </si>
  <si>
    <t>80–84</t>
  </si>
  <si>
    <t>Медиана</t>
  </si>
  <si>
    <t>85–89</t>
  </si>
  <si>
    <t xml:space="preserve">Средняя квадратическая ошибка </t>
  </si>
  <si>
    <t>90–94</t>
  </si>
  <si>
    <t>95–99</t>
  </si>
  <si>
    <t>—</t>
  </si>
  <si>
    <t>Me</t>
  </si>
  <si>
    <t>X^</t>
  </si>
  <si>
    <t>Mo</t>
  </si>
  <si>
    <t>Середина интервала (xᵢ)</t>
  </si>
  <si>
    <t>5-9</t>
  </si>
  <si>
    <t>85+</t>
  </si>
  <si>
    <t>5. Оцените тесноту связи между производительностью труда и динамикой средней заработной платы.</t>
  </si>
  <si>
    <t>Производительность X, руб./чел.</t>
  </si>
  <si>
    <t xml:space="preserve">xi -x̅ </t>
  </si>
  <si>
    <t>yi- ȳ</t>
  </si>
  <si>
    <t>(xi -x̅ )*(yi- ȳ)</t>
  </si>
  <si>
    <t xml:space="preserve">(xi -x̅)^2 </t>
  </si>
  <si>
    <t>(yi- ȳ)^2</t>
  </si>
  <si>
    <t xml:space="preserve">x̅ </t>
  </si>
  <si>
    <t>ȳ</t>
  </si>
  <si>
    <t>Между производительностью труда и средней заработной платой существует очень тесная прямая связь: с ростом производительности растёт и заработная плата. Коэффициент корреляции 0,97 подтверждает, что показатели движутся синхронно.</t>
  </si>
  <si>
    <t>Коэффициент корреляции Пирсона</t>
  </si>
  <si>
    <t>Среднемесячная номинальная начисленная заработная плата работающих в экономике с 2017 г.  (рубль)</t>
  </si>
  <si>
    <t>январь-декабрь</t>
  </si>
  <si>
    <t xml:space="preserve">    СЕЛЬСКОЕ, ЛЕСНОЕ ХОЗЯЙСТВО, ОХОТА, РЫБОЛОВСТВО И РЫБОВОДСТВО</t>
  </si>
  <si>
    <t xml:space="preserve">        Архангельская область</t>
  </si>
  <si>
    <t>Среднесписочная численность работников (без внешних совместителей) по полному кругу организаций за отчетный период (человек)</t>
  </si>
  <si>
    <t>Численность безработных граждан, зарегистрированных в государственных учреждениях службы занятости населения</t>
  </si>
  <si>
    <t>Архангельская область</t>
  </si>
  <si>
    <t>декабрь</t>
  </si>
  <si>
    <t>человек</t>
  </si>
  <si>
    <t>Численность рабочей силы в возрасте 15-72 лет по субъектам Российской Федерации</t>
  </si>
  <si>
    <t>570.4</t>
  </si>
  <si>
    <t>550.2</t>
  </si>
  <si>
    <t>528.7</t>
  </si>
  <si>
    <t>510.0</t>
  </si>
  <si>
    <t>511.7</t>
  </si>
  <si>
    <t>500.0</t>
  </si>
  <si>
    <t>486.9</t>
  </si>
  <si>
    <t>478.7</t>
  </si>
  <si>
    <t>Численность населения</t>
  </si>
  <si>
    <t>1 144 119</t>
  </si>
  <si>
    <t>1 136 535</t>
  </si>
  <si>
    <t>1 020 307</t>
  </si>
  <si>
    <t>1 016 030</t>
  </si>
  <si>
    <t>1 005 687</t>
  </si>
  <si>
    <t>998 072</t>
  </si>
  <si>
    <t>Среднегодовая численность занятых в экономике (расчеты на основе интеграции данных) с 2017 г. (человек, значение показателя за год)</t>
  </si>
  <si>
    <t>Среднемесячная номинальная начисленная заработная плата на одного работника по полному кругу организаций с 2017 г. (рубль, значение показателя за год)</t>
  </si>
  <si>
    <t>ВСЕГО (по всем формам собственности)</t>
  </si>
  <si>
    <t xml:space="preserve">ЧИСЛЕННОСТЬ НАСЕЛЕНИЯ ПО ПОЛУ И ВОЗРАСТУ  
 на 1 января 2024 года </t>
  </si>
  <si>
    <t>(человек)</t>
  </si>
  <si>
    <t>Всё население</t>
  </si>
  <si>
    <t>Городское население</t>
  </si>
  <si>
    <t>Сельское население</t>
  </si>
  <si>
    <t xml:space="preserve">мужчины
и женщины </t>
  </si>
  <si>
    <t>мужчины</t>
  </si>
  <si>
    <t>женщины</t>
  </si>
  <si>
    <t>с</t>
  </si>
  <si>
    <t>в том числе в возрасте, лет</t>
  </si>
  <si>
    <t xml:space="preserve">до 1 </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</si>
  <si>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</si>
  <si>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</si>
  <si>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</si>
  <si>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</si>
  <si>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</si>
  <si>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</si>
  <si>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</si>
  <si>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</si>
  <si>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</si>
  <si>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</si>
  <si>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</si>
  <si>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</si>
  <si>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</si>
  <si>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</si>
  <si>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</si>
  <si>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</si>
  <si>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</si>
  <si>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</si>
  <si>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</si>
  <si>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</si>
  <si>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</si>
  <si>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</si>
  <si>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</si>
  <si>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</si>
  <si>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</si>
  <si>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</si>
  <si>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</si>
  <si>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</si>
  <si>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</si>
  <si>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</si>
  <si>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</si>
  <si>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</si>
  <si>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</si>
  <si>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</si>
  <si>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</si>
  <si>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</si>
  <si>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</si>
  <si>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</si>
  <si>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</si>
  <si>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</si>
  <si>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</si>
  <si>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</si>
  <si>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</si>
  <si>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</si>
  <si>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</si>
  <si>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</si>
  <si>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</si>
  <si>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</si>
  <si>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</si>
  <si>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</si>
  <si>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</si>
  <si>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</si>
  <si>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</si>
  <si>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</si>
  <si>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</si>
  <si>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</si>
  <si>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</si>
  <si>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</si>
  <si>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</si>
  <si>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</si>
  <si>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</si>
  <si>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</si>
  <si>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</si>
  <si>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</si>
  <si>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</si>
  <si>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</si>
  <si>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</si>
  <si>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</si>
  <si>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</si>
  <si>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</si>
  <si>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</si>
  <si>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</si>
  <si>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</si>
  <si>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</si>
  <si>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</si>
  <si>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</si>
  <si>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</si>
  <si>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</si>
  <si>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</si>
  <si>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</si>
  <si>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</si>
  <si>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</si>
  <si>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</si>
  <si>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</si>
  <si>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</si>
  <si>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</si>
  <si>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</si>
  <si>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</si>
  <si>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</si>
  <si>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</si>
  <si>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</si>
  <si>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</si>
  <si>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</si>
  <si>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</si>
  <si>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</si>
  <si>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</si>
  <si>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</si>
  <si>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</si>
  <si>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</si>
  <si>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 и более</t>
  </si>
  <si>
    <t>моложе трудоспособного</t>
  </si>
  <si>
    <t>трудоспособного</t>
  </si>
  <si>
    <t>старше трудоспособного</t>
  </si>
  <si>
    <t>Доля инвестиций, направленных на реконструкцию и модернизацию в общем объеме инвестиций в основной капитал (по организациям, не относящимся к субъектам малого предпринимательства в разрезе ОКВЭД2) (процент, значение показателя за год)</t>
  </si>
  <si>
    <t>Индекс изменения стоимости основных фондов в постоянных ценах  (процент, значение показателя за год, Российская Федерация)</t>
  </si>
  <si>
    <t>СЕЛЬСКОЕ, ЛЕСНОЕ ХОЗЯЙСТВО, ОХОТА, РЫБОЛОВСТВО И РЫБОВОДСТВО</t>
  </si>
  <si>
    <t>ВСЕГО</t>
  </si>
  <si>
    <t>Валовой региональный продукт в основных ценах (ОКВЭД 2) (тысяча рублей, значение показателя за год, Архангельская область)</t>
  </si>
  <si>
    <t>2016</t>
  </si>
  <si>
    <t>Текущие цены</t>
  </si>
  <si>
    <t>Инвестиции в основной капитал по видам экономической деятельности (тысяча рублей, Архангельская область)</t>
  </si>
  <si>
    <t>Крупные и средние организации и организации с численностью работников до 15 человек, не являющиеся субъектами малого предпринимательства</t>
  </si>
  <si>
    <t>2.1. ЧИСЛЕННОСТЬ НАСЕЛЕНИЯ ПО  ПОЛУ И ВОЗРАСТУ     на   1   января   2019 г.</t>
  </si>
  <si>
    <t>Архангельская область (включая Ненецкий автономный округ)</t>
  </si>
  <si>
    <t>Возраст (лет)</t>
  </si>
  <si>
    <t>Все население</t>
  </si>
  <si>
    <t xml:space="preserve">мужчины </t>
  </si>
  <si>
    <t>и женщины</t>
  </si>
  <si>
    <t>0</t>
  </si>
  <si>
    <t>0-2</t>
  </si>
  <si>
    <t>0-4</t>
  </si>
  <si>
    <t>3-5</t>
  </si>
  <si>
    <t>1-6</t>
  </si>
  <si>
    <t>8-13</t>
  </si>
  <si>
    <t>0-13</t>
  </si>
  <si>
    <t>10-14</t>
  </si>
  <si>
    <t>0-14</t>
  </si>
  <si>
    <t>14-15</t>
  </si>
  <si>
    <t>16-17</t>
  </si>
  <si>
    <t>0-17</t>
  </si>
  <si>
    <t>15-19</t>
  </si>
  <si>
    <t>20-24</t>
  </si>
  <si>
    <t>25-29</t>
  </si>
  <si>
    <t>20-29</t>
  </si>
  <si>
    <t>16-29</t>
  </si>
  <si>
    <t>30-34</t>
  </si>
  <si>
    <t>15-34</t>
  </si>
  <si>
    <t>35-39</t>
  </si>
  <si>
    <t>20-39</t>
  </si>
  <si>
    <t>40-44</t>
  </si>
  <si>
    <t>45-49</t>
  </si>
  <si>
    <t>15-49</t>
  </si>
  <si>
    <t>50-54</t>
  </si>
  <si>
    <t>55-59</t>
  </si>
  <si>
    <t>60-64</t>
  </si>
  <si>
    <t>65-69</t>
  </si>
  <si>
    <t>70-74</t>
  </si>
  <si>
    <t>75-79</t>
  </si>
  <si>
    <t>80 и старше</t>
  </si>
  <si>
    <t>85 и старше</t>
  </si>
  <si>
    <t>Численность населения по полу и возрасту на 1 января 2017 года</t>
  </si>
  <si>
    <t>(с учетом итогов Всероссийской переписи населения 2020 года, человек)</t>
  </si>
  <si>
    <t>Всего</t>
  </si>
  <si>
    <t>в том числе</t>
  </si>
  <si>
    <t>в возрасте</t>
  </si>
  <si>
    <t>80-84</t>
  </si>
  <si>
    <t>85-89</t>
  </si>
  <si>
    <t>90-94</t>
  </si>
  <si>
    <t>95-99</t>
  </si>
  <si>
    <t>100 и старше</t>
  </si>
  <si>
    <t>Все население по основным возрастным группам:</t>
  </si>
  <si>
    <t>в трудоспособном1)</t>
  </si>
  <si>
    <t>старше трудоспособного2)</t>
  </si>
  <si>
    <t>1 Мужчины в возрасте 16 – 59 лет, женщины в возрасте 16 – 54 лет</t>
  </si>
  <si>
    <t>2 Мужчины в возрасте 60 лет и более, женщины в возрасте 55 лет и более</t>
  </si>
  <si>
    <t>Численность населения по полу и возрасту на 1 января 2018 года</t>
  </si>
  <si>
    <t>Численность населения по полу и возрасту на 1 января 2019 года</t>
  </si>
  <si>
    <t>Численность населения по полу и возрасту на 1 января 2020 года</t>
  </si>
  <si>
    <t>1 Мужчины в возрасте 16 – 60 лет, женщины в возрасте 16 – 55 лет</t>
  </si>
  <si>
    <t>2 Мужчины в возрасте 61 лет и более, женщины в возрасте 56 лет и более</t>
  </si>
  <si>
    <t>Численность населения по полу и возрасту на 1 января 2021 года</t>
  </si>
  <si>
    <t>Численность населения по полу и возрасту на 1 января 2022 года</t>
  </si>
  <si>
    <t>ОЦЕНКА ЧИСЛЕННОСТИ НАСЕЛЕНИЯ ПО ПОЛУ И ВОЗРАСТУ</t>
  </si>
  <si>
    <t>на начало 2023 года</t>
  </si>
  <si>
    <t>(с учётом итогов Всероссийской переписи населения 2020г.)</t>
  </si>
  <si>
    <t>Архангельская область, включая Ненецкого автономного округа</t>
  </si>
  <si>
    <t>44 453</t>
  </si>
  <si>
    <t>Возрастная группа</t>
  </si>
  <si>
    <t>Сумма</t>
  </si>
  <si>
    <t>62 574</t>
  </si>
  <si>
    <t>62 920</t>
  </si>
  <si>
    <t>56 192</t>
  </si>
  <si>
    <t>44 351</t>
  </si>
  <si>
    <t>41 275</t>
  </si>
  <si>
    <t>65 256</t>
  </si>
  <si>
    <t>86 054</t>
  </si>
  <si>
    <t>81 343</t>
  </si>
  <si>
    <t>76 015</t>
  </si>
  <si>
    <t>63 094</t>
  </si>
  <si>
    <t>64 034</t>
  </si>
  <si>
    <t>75 199</t>
  </si>
  <si>
    <t>70 626</t>
  </si>
  <si>
    <t>53 666</t>
  </si>
  <si>
    <t>22 955</t>
  </si>
  <si>
    <t>21 550</t>
  </si>
  <si>
    <t>10 672</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</si>
</sst>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176" formatCode="_(&quot;$&quot;* #\ ##0.00_);_(&quot;$&quot;* \(#\ ##0.00\);_(&quot;$&quot;* &quot;-&quot;??_);_(@_)"/>
    <numFmt numFmtId="177" formatCode="_(* #\ ##0.00_);_(* \(#\ ##0.00\);_(* &quot;-&quot;??_);_(@_)"/>
    <numFmt numFmtId="178" formatCode="_(&quot;$&quot;* #\ ##0_);_(&quot;$&quot;* \(#\ ##0\);_(&quot;$&quot;* &quot;-&quot;_);_(@_)"/>
    <numFmt numFmtId="179" formatCode="_(* #\ ##0_);_(* \(#\ ##0\);_(* &quot;-&quot;_);_(@_)"/>
    <numFmt numFmtId="180" formatCode="#\ ##0"/>
    <numFmt numFmtId="181" formatCode="#\ ##0.####"/>
    <numFmt numFmtId="182" formatCode="[=0]&quot; - &quot;;General"/>
    <numFmt numFmtId="183" formatCode="dd\.mmm"/>
    <numFmt numFmtId="184" formatCode="mmm\.yy"/>
    <numFmt numFmtId="185" formatCode="0.00_ "/>
    <numFmt numFmtId="186" formatCode="0.0_ "/>
    <numFmt numFmtId="187" formatCode="0.000_ "/>
    <numFmt numFmtId="188" formatCode="#.\ #0"/>
    <numFmt numFmtId="189" formatCode="#\ "/>
    <numFmt numFmtId="190" formatCode="#.0\ "/>
  </numFmts>
  <fonts count="59">
    <font>
      <sz val="10"/>
      <name val="Arial"/>
      <charset val="0"/>
    </font>
    <font>
      <b/>
      <sz val="10"/>
      <name val="Arial"/>
      <charset val="0"/>
    </font>
    <font>
      <sz val="10"/>
      <color indexed="18"/>
      <name val="Arial"/>
      <charset val="0"/>
    </font>
    <font>
      <sz val="10"/>
      <color rgb="FF34343C"/>
      <name val="Arial Cyr"/>
      <charset val="0"/>
    </font>
    <font>
      <sz val="10"/>
      <color theme="1"/>
      <name val="Arial"/>
      <charset val="0"/>
    </font>
    <font>
      <sz val="10"/>
      <color rgb="FF202122"/>
      <name val="Arial"/>
      <charset val="0"/>
    </font>
    <font>
      <b/>
      <sz val="10"/>
      <name val="Arial Cyr"/>
      <charset val="204"/>
    </font>
    <font>
      <b/>
      <sz val="9"/>
      <name val="Arial Cyr"/>
      <charset val="204"/>
    </font>
    <font>
      <sz val="10"/>
      <name val="Arial"/>
      <charset val="204"/>
    </font>
    <font>
      <i/>
      <sz val="8"/>
      <color theme="0" tint="-0.499984740745262"/>
      <name val="Arial"/>
      <charset val="204"/>
    </font>
    <font>
      <b/>
      <sz val="10"/>
      <name val="Arial"/>
      <charset val="204"/>
    </font>
    <font>
      <sz val="10"/>
      <name val="Arial Cyr"/>
      <charset val="204"/>
    </font>
    <font>
      <sz val="9"/>
      <name val="Arial Cyr"/>
      <charset val="204"/>
    </font>
    <font>
      <sz val="8"/>
      <name val="Arial Cyr"/>
      <charset val="204"/>
    </font>
    <font>
      <b/>
      <sz val="10"/>
      <color rgb="FF34343C"/>
      <name val="Arial Cyr"/>
      <charset val="0"/>
    </font>
    <font>
      <b/>
      <sz val="10"/>
      <color rgb="FF34343C"/>
      <name val="Arial"/>
      <charset val="0"/>
    </font>
    <font>
      <sz val="10"/>
      <color rgb="FF34343C"/>
      <name val="Arial"/>
      <charset val="0"/>
    </font>
    <font>
      <b/>
      <sz val="10"/>
      <color rgb="FF000000"/>
      <name val="Arial"/>
      <charset val="0"/>
    </font>
    <font>
      <sz val="11.25"/>
      <color rgb="FFF9FAFB"/>
      <name val="Segoe UI"/>
      <charset val="0"/>
    </font>
    <font>
      <b/>
      <sz val="14"/>
      <name val="Arial"/>
      <charset val="0"/>
    </font>
    <font>
      <b/>
      <sz val="14"/>
      <name val="Segoe UI"/>
      <charset val="0"/>
    </font>
    <font>
      <sz val="14"/>
      <name val="Arial"/>
      <charset val="0"/>
    </font>
    <font>
      <sz val="18"/>
      <name val="Arial"/>
      <charset val="0"/>
    </font>
    <font>
      <sz val="16"/>
      <name val="Arial"/>
      <charset val="0"/>
    </font>
    <font>
      <sz val="12"/>
      <name val="Arial"/>
      <charset val="0"/>
    </font>
    <font>
      <b/>
      <sz val="12"/>
      <name val="Arial"/>
      <charset val="0"/>
    </font>
    <font>
      <sz val="11.25"/>
      <name val="Segoe UI"/>
      <charset val="134"/>
    </font>
    <font>
      <i/>
      <sz val="16"/>
      <name val="Arial"/>
      <charset val="0"/>
    </font>
    <font>
      <i/>
      <sz val="16"/>
      <color theme="1"/>
      <name val="Arial"/>
      <charset val="0"/>
    </font>
    <font>
      <sz val="11.25"/>
      <color theme="1"/>
      <name val="Segoe UI"/>
      <charset val="0"/>
    </font>
    <font>
      <i/>
      <sz val="14"/>
      <name val="Arial"/>
      <charset val="0"/>
    </font>
    <font>
      <sz val="24"/>
      <name val="Arial"/>
      <charset val="0"/>
    </font>
    <font>
      <sz val="24"/>
      <color indexed="18"/>
      <name val="Arial"/>
      <charset val="0"/>
    </font>
    <font>
      <sz val="11"/>
      <color rgb="FF000000"/>
      <name val="Calibri"/>
      <charset val="0"/>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0"/>
      <name val="KaTeX_Math"/>
      <charset val="0"/>
    </font>
    <font>
      <sz val="8.5"/>
      <name val="Arial"/>
      <charset val="0"/>
    </font>
    <font>
      <sz val="8.5"/>
      <color rgb="FFF9FAFB"/>
      <name val="Times New Roman"/>
      <charset val="0"/>
    </font>
    <font>
      <sz val="10"/>
      <color rgb="FFF9FAFB"/>
      <name val="Times New Roman"/>
      <charset val="0"/>
    </font>
    <font>
      <i/>
      <sz val="10"/>
      <color theme="1"/>
      <name val="Arial"/>
      <charset val="0"/>
    </font>
  </fonts>
  <fills count="44">
    <fill>
      <patternFill patternType="none"/>
    </fill>
    <fill>
      <patternFill patternType="gray125"/>
    </fill>
    <fill>
      <patternFill patternType="solid">
        <fgColor indexed="29"/>
        <bgColor indexed="64"/>
      </patternFill>
    </fill>
    <fill>
      <patternFill patternType="solid">
        <fgColor rgb="FFFFFFFF"/>
        <bgColor indexed="64"/>
      </patternFill>
    </fill>
    <fill>
      <patternFill patternType="solid">
        <fgColor rgb="FF151517"/>
        <bgColor indexed="64"/>
      </patternFill>
    </fill>
    <fill>
      <patternFill patternType="solid">
        <fgColor rgb="FFFFFF00"/>
        <bgColor indexed="64"/>
      </patternFill>
    </fill>
    <fill>
      <patternFill patternType="solid">
        <fgColor theme="4" tint="0.6"/>
        <bgColor indexed="64"/>
      </patternFill>
    </fill>
    <fill>
      <patternFill patternType="solid">
        <fgColor theme="5" tint="0.6"/>
        <bgColor indexed="64"/>
      </patternFill>
    </fill>
    <fill>
      <patternFill patternType="solid">
        <fgColor rgb="FF92D050"/>
        <bgColor indexed="64"/>
      </patternFill>
    </fill>
    <fill>
      <patternFill patternType="solid">
        <fgColor theme="0"/>
        <bgColor indexed="64"/>
      </patternFill>
    </fill>
    <fill>
      <patternFill patternType="solid">
        <fgColor theme="5" tint="0.4"/>
        <bgColor indexed="64"/>
      </patternFill>
    </fill>
    <fill>
      <patternFill patternType="solid">
        <fgColor theme="3" tint="0.8"/>
        <bgColor indexed="64"/>
      </patternFill>
    </fill>
    <fill>
      <patternFill patternType="solid">
        <fgColor theme="4"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2">
    <border>
      <left/>
      <right/>
      <top/>
      <bottom/>
      <diagonal/>
    </border>
    <border>
      <left style="thin">
        <color indexed="55"/>
      </left>
      <right style="thin">
        <color indexed="55"/>
      </right>
      <top style="thin">
        <color indexed="55"/>
      </top>
      <bottom style="thin">
        <color indexed="55"/>
      </bottom>
      <diagonal/>
    </border>
    <border>
      <left style="thin">
        <color auto="1"/>
      </left>
      <right style="thin">
        <color auto="1"/>
      </right>
      <top style="thin">
        <color auto="1"/>
      </top>
      <bottom style="thin">
        <color auto="1"/>
      </bottom>
      <diagonal/>
    </border>
    <border>
      <left style="medium">
        <color rgb="FFA2A9B1"/>
      </left>
      <right style="medium">
        <color rgb="FFA2A9B1"/>
      </right>
      <top style="medium">
        <color rgb="FFA2A9B1"/>
      </top>
      <bottom style="medium">
        <color rgb="FFA2A9B1"/>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rgb="FFEFEFEF"/>
      </left>
      <right/>
      <top style="medium">
        <color rgb="FFEFEFEF"/>
      </top>
      <bottom/>
      <diagonal/>
    </border>
    <border>
      <left/>
      <right/>
      <top style="medium">
        <color rgb="FFEFEFEF"/>
      </top>
      <bottom/>
      <diagonal/>
    </border>
    <border>
      <left/>
      <right style="medium">
        <color rgb="FFEFEFEF"/>
      </right>
      <top style="medium">
        <color rgb="FFEFEFEF"/>
      </top>
      <bottom/>
      <diagonal/>
    </border>
    <border>
      <left style="medium">
        <color rgb="FFEFEFEF"/>
      </left>
      <right/>
      <top/>
      <bottom style="medium">
        <color rgb="FFEFEFEF"/>
      </bottom>
      <diagonal/>
    </border>
    <border>
      <left/>
      <right/>
      <top/>
      <bottom style="medium">
        <color rgb="FFEFEFEF"/>
      </bottom>
      <diagonal/>
    </border>
    <border>
      <left/>
      <right style="medium">
        <color rgb="FFEFEFEF"/>
      </right>
      <top/>
      <bottom style="medium">
        <color rgb="FFEFEFEF"/>
      </bottom>
      <diagonal/>
    </border>
    <border>
      <left style="medium">
        <color rgb="FFEFEFEF"/>
      </left>
      <right style="medium">
        <color rgb="FFEFEFEF"/>
      </right>
      <top style="medium">
        <color rgb="FFEFEFEF"/>
      </top>
      <bottom style="medium">
        <color rgb="FFEFEFEF"/>
      </bottom>
      <diagonal/>
    </border>
    <border>
      <left style="thick">
        <color rgb="FF000000"/>
      </left>
      <right style="medium">
        <color rgb="FF000000"/>
      </right>
      <top style="thick">
        <color rgb="FF000000"/>
      </top>
      <bottom style="medium">
        <color rgb="FFEFEFEF"/>
      </bottom>
      <diagonal/>
    </border>
    <border>
      <left style="medium">
        <color rgb="FFEFEFEF"/>
      </left>
      <right style="medium">
        <color rgb="FF000000"/>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style="medium">
        <color rgb="FF000000"/>
      </left>
      <right style="medium">
        <color rgb="FFEFEFEF"/>
      </right>
      <top style="medium">
        <color rgb="FF000000"/>
      </top>
      <bottom style="medium">
        <color rgb="FFEFEFEF"/>
      </bottom>
      <diagonal/>
    </border>
    <border>
      <left style="medium">
        <color rgb="FF000000"/>
      </left>
      <right style="medium">
        <color rgb="FF000000"/>
      </right>
      <top style="medium">
        <color rgb="FF000000"/>
      </top>
      <bottom style="medium">
        <color rgb="FFEFEFEF"/>
      </bottom>
      <diagonal/>
    </border>
    <border>
      <left style="medium">
        <color rgb="FF000000"/>
      </left>
      <right style="thick">
        <color rgb="FF000000"/>
      </right>
      <top style="medium">
        <color rgb="FF000000"/>
      </top>
      <bottom style="medium">
        <color rgb="FFEFEFEF"/>
      </bottom>
      <diagonal/>
    </border>
    <border>
      <left style="medium">
        <color rgb="FF000000"/>
      </left>
      <right style="medium">
        <color rgb="FFEFEFEF"/>
      </right>
      <top style="medium">
        <color rgb="FFEFEFEF"/>
      </top>
      <bottom style="medium">
        <color rgb="FFEFEFEF"/>
      </bottom>
      <diagonal/>
    </border>
    <border>
      <left style="thick">
        <color rgb="FF000000"/>
      </left>
      <right style="medium">
        <color rgb="FFEFEFEF"/>
      </right>
      <top style="thick">
        <color rgb="FF000000"/>
      </top>
      <bottom style="medium">
        <color rgb="FFEFEFEF"/>
      </bottom>
      <diagonal/>
    </border>
    <border>
      <left style="medium">
        <color rgb="FFEFEFEF"/>
      </left>
      <right style="medium">
        <color rgb="FFEFEFEF"/>
      </right>
      <top style="thick">
        <color rgb="FF000000"/>
      </top>
      <bottom style="medium">
        <color rgb="FFEFEFEF"/>
      </bottom>
      <diagonal/>
    </border>
    <border>
      <left style="medium">
        <color rgb="FFEFEFEF"/>
      </left>
      <right style="thick">
        <color rgb="FF000000"/>
      </right>
      <top style="thick">
        <color rgb="FF000000"/>
      </top>
      <bottom style="medium">
        <color rgb="FFEFEFEF"/>
      </bottom>
      <diagonal/>
    </border>
    <border>
      <left style="thick">
        <color rgb="FF000000"/>
      </left>
      <right style="medium">
        <color rgb="FFEFEFEF"/>
      </right>
      <top style="medium">
        <color rgb="FFEFEFEF"/>
      </top>
      <bottom/>
      <diagonal/>
    </border>
    <border>
      <left style="medium">
        <color rgb="FFEFEFEF"/>
      </left>
      <right style="thick">
        <color rgb="FF000000"/>
      </right>
      <top style="medium">
        <color rgb="FFEFEFEF"/>
      </top>
      <bottom style="medium">
        <color rgb="FFEFEFEF"/>
      </bottom>
      <diagonal/>
    </border>
    <border>
      <left style="thick">
        <color rgb="FF000000"/>
      </left>
      <right style="medium">
        <color rgb="FFEFEFEF"/>
      </right>
      <top/>
      <bottom style="medium">
        <color rgb="FFEFEFEF"/>
      </bottom>
      <diagonal/>
    </border>
    <border>
      <left style="thick">
        <color rgb="FF000000"/>
      </left>
      <right style="medium">
        <color rgb="FFEFEFEF"/>
      </right>
      <top style="medium">
        <color rgb="FFEFEFEF"/>
      </top>
      <bottom style="medium">
        <color rgb="FFEFEFEF"/>
      </bottom>
      <diagonal/>
    </border>
    <border>
      <left style="thick">
        <color rgb="FF000000"/>
      </left>
      <right style="medium">
        <color rgb="FFEFEFEF"/>
      </right>
      <top style="medium">
        <color rgb="FFEFEFEF"/>
      </top>
      <bottom style="thick">
        <color rgb="FF000000"/>
      </bottom>
      <diagonal/>
    </border>
    <border>
      <left style="medium">
        <color rgb="FFEFEFEF"/>
      </left>
      <right style="medium">
        <color rgb="FFEFEFEF"/>
      </right>
      <top style="medium">
        <color rgb="FFEFEFEF"/>
      </top>
      <bottom style="thick">
        <color rgb="FF000000"/>
      </bottom>
      <diagonal/>
    </border>
    <border>
      <left style="medium">
        <color rgb="FFEFEFEF"/>
      </left>
      <right style="thick">
        <color rgb="FF000000"/>
      </right>
      <top style="medium">
        <color rgb="FFEFEFEF"/>
      </top>
      <bottom style="thick">
        <color rgb="FF000000"/>
      </bottom>
      <diagonal/>
    </border>
    <border>
      <left style="medium">
        <color rgb="FFEFEFEF"/>
      </left>
      <right style="medium">
        <color rgb="FFEFEFEF"/>
      </right>
      <top style="medium">
        <color rgb="FFEFEFEF"/>
      </top>
      <bottom style="medium">
        <color rgb="FF000000"/>
      </bottom>
      <diagonal/>
    </border>
    <border>
      <left style="medium">
        <color rgb="FFEFEFEF"/>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EFEFEF"/>
      </right>
      <top style="medium">
        <color rgb="FFEFEFEF"/>
      </top>
      <bottom style="medium">
        <color rgb="FF000000"/>
      </bottom>
      <diagonal/>
    </border>
    <border>
      <left style="thin">
        <color indexed="55"/>
      </left>
      <right style="thin">
        <color indexed="55"/>
      </right>
      <top style="thin">
        <color indexed="55"/>
      </top>
      <bottom/>
      <diagonal/>
    </border>
    <border>
      <left style="thin">
        <color indexed="55"/>
      </left>
      <right style="thin">
        <color indexed="55"/>
      </right>
      <top/>
      <bottom style="thin">
        <color indexed="55"/>
      </bottom>
      <diagonal/>
    </border>
    <border>
      <left style="thin">
        <color indexed="0"/>
      </left>
      <right style="thin">
        <color auto="1"/>
      </right>
      <top style="thin">
        <color indexed="0"/>
      </top>
      <bottom style="thin">
        <color auto="1"/>
      </bottom>
      <diagonal/>
    </border>
    <border>
      <left style="thin">
        <color auto="1"/>
      </left>
      <right style="thin">
        <color auto="1"/>
      </right>
      <top style="thin">
        <color indexed="0"/>
      </top>
      <bottom style="thin">
        <color auto="1"/>
      </bottom>
      <diagonal/>
    </border>
    <border>
      <left style="thin">
        <color indexed="0"/>
      </left>
      <right style="thin">
        <color auto="1"/>
      </right>
      <top style="thin">
        <color auto="1"/>
      </top>
      <bottom style="thin">
        <color auto="1"/>
      </bottom>
      <diagonal/>
    </border>
    <border>
      <left style="thin">
        <color indexed="0"/>
      </left>
      <right style="thin">
        <color auto="1"/>
      </right>
      <top style="thin">
        <color auto="1"/>
      </top>
      <bottom style="thin">
        <color indexed="0"/>
      </bottom>
      <diagonal/>
    </border>
    <border>
      <left style="thin">
        <color auto="1"/>
      </left>
      <right style="thin">
        <color auto="1"/>
      </right>
      <top style="thin">
        <color auto="1"/>
      </top>
      <bottom style="thin">
        <color indexed="0"/>
      </bottom>
      <diagonal/>
    </border>
    <border>
      <left style="thin">
        <color auto="1"/>
      </left>
      <right style="thin">
        <color indexed="0"/>
      </right>
      <top style="thin">
        <color indexed="0"/>
      </top>
      <bottom style="thin">
        <color auto="1"/>
      </bottom>
      <diagonal/>
    </border>
    <border>
      <left style="thin">
        <color auto="1"/>
      </left>
      <right style="thin">
        <color indexed="0"/>
      </right>
      <top style="thin">
        <color auto="1"/>
      </top>
      <bottom style="thin">
        <color auto="1"/>
      </bottom>
      <diagonal/>
    </border>
    <border>
      <left style="thin">
        <color auto="1"/>
      </left>
      <right style="thin">
        <color indexed="0"/>
      </right>
      <top style="thin">
        <color auto="1"/>
      </top>
      <bottom style="thin">
        <color indexed="0"/>
      </bottom>
      <diagonal/>
    </border>
    <border>
      <left style="medium">
        <color rgb="FF000000"/>
      </left>
      <right/>
      <top/>
      <bottom/>
      <diagonal/>
    </border>
    <border>
      <left/>
      <right style="medium">
        <color rgb="FF000000"/>
      </right>
      <top/>
      <bottom/>
      <diagonal/>
    </border>
    <border>
      <left style="thin">
        <color indexed="0"/>
      </left>
      <right style="thin">
        <color indexed="0"/>
      </right>
      <top style="thin">
        <color indexed="0"/>
      </top>
      <bottom style="thin">
        <color auto="1"/>
      </bottom>
      <diagonal/>
    </border>
    <border>
      <left style="thin">
        <color indexed="0"/>
      </left>
      <right style="thin">
        <color indexed="0"/>
      </right>
      <top style="thin">
        <color auto="1"/>
      </top>
      <bottom style="thin">
        <color auto="1"/>
      </bottom>
      <diagonal/>
    </border>
    <border>
      <left style="thin">
        <color indexed="0"/>
      </left>
      <right style="thin">
        <color indexed="0"/>
      </right>
      <top style="thin">
        <color auto="1"/>
      </top>
      <bottom style="thin">
        <color indexed="0"/>
      </bottom>
      <diagonal/>
    </border>
    <border>
      <left/>
      <right style="thin">
        <color auto="1"/>
      </right>
      <top style="thin">
        <color indexed="0"/>
      </top>
      <bottom style="thin">
        <color auto="1"/>
      </bottom>
      <diagonal/>
    </border>
    <border>
      <left/>
      <right style="thin">
        <color auto="1"/>
      </right>
      <top style="thin">
        <color auto="1"/>
      </top>
      <bottom style="thin">
        <color indexe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13" borderId="64"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65" applyNumberFormat="0" applyFill="0" applyAlignment="0" applyProtection="0">
      <alignment vertical="center"/>
    </xf>
    <xf numFmtId="0" fontId="41" fillId="0" borderId="65" applyNumberFormat="0" applyFill="0" applyAlignment="0" applyProtection="0">
      <alignment vertical="center"/>
    </xf>
    <xf numFmtId="0" fontId="42" fillId="0" borderId="66" applyNumberFormat="0" applyFill="0" applyAlignment="0" applyProtection="0">
      <alignment vertical="center"/>
    </xf>
    <xf numFmtId="0" fontId="42" fillId="0" borderId="0" applyNumberFormat="0" applyFill="0" applyBorder="0" applyAlignment="0" applyProtection="0">
      <alignment vertical="center"/>
    </xf>
    <xf numFmtId="0" fontId="43" fillId="14" borderId="67" applyNumberFormat="0" applyAlignment="0" applyProtection="0">
      <alignment vertical="center"/>
    </xf>
    <xf numFmtId="0" fontId="44" fillId="15" borderId="68" applyNumberFormat="0" applyAlignment="0" applyProtection="0">
      <alignment vertical="center"/>
    </xf>
    <xf numFmtId="0" fontId="45" fillId="15" borderId="67" applyNumberFormat="0" applyAlignment="0" applyProtection="0">
      <alignment vertical="center"/>
    </xf>
    <xf numFmtId="0" fontId="46" fillId="16" borderId="69" applyNumberFormat="0" applyAlignment="0" applyProtection="0">
      <alignment vertical="center"/>
    </xf>
    <xf numFmtId="0" fontId="47" fillId="0" borderId="70" applyNumberFormat="0" applyFill="0" applyAlignment="0" applyProtection="0">
      <alignment vertical="center"/>
    </xf>
    <xf numFmtId="0" fontId="48" fillId="0" borderId="71" applyNumberFormat="0" applyFill="0" applyAlignment="0" applyProtection="0">
      <alignment vertical="center"/>
    </xf>
    <xf numFmtId="0" fontId="49" fillId="17" borderId="0" applyNumberFormat="0" applyBorder="0" applyAlignment="0" applyProtection="0">
      <alignment vertical="center"/>
    </xf>
    <xf numFmtId="0" fontId="50" fillId="18" borderId="0" applyNumberFormat="0" applyBorder="0" applyAlignment="0" applyProtection="0">
      <alignment vertical="center"/>
    </xf>
    <xf numFmtId="0" fontId="51" fillId="19" borderId="0" applyNumberFormat="0" applyBorder="0" applyAlignment="0" applyProtection="0">
      <alignment vertical="center"/>
    </xf>
    <xf numFmtId="0" fontId="52"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3" fillId="37" borderId="0" applyNumberFormat="0" applyBorder="0" applyAlignment="0" applyProtection="0">
      <alignment vertical="center"/>
    </xf>
    <xf numFmtId="0" fontId="53" fillId="38" borderId="0" applyNumberFormat="0" applyBorder="0" applyAlignment="0" applyProtection="0">
      <alignment vertical="center"/>
    </xf>
    <xf numFmtId="0" fontId="52" fillId="39" borderId="0" applyNumberFormat="0" applyBorder="0" applyAlignment="0" applyProtection="0">
      <alignment vertical="center"/>
    </xf>
    <xf numFmtId="0" fontId="52" fillId="40" borderId="0" applyNumberFormat="0" applyBorder="0" applyAlignment="0" applyProtection="0">
      <alignment vertical="center"/>
    </xf>
    <xf numFmtId="0" fontId="53" fillId="41" borderId="0" applyNumberFormat="0" applyBorder="0" applyAlignment="0" applyProtection="0">
      <alignment vertical="center"/>
    </xf>
    <xf numFmtId="0" fontId="53" fillId="42" borderId="0" applyNumberFormat="0" applyBorder="0" applyAlignment="0" applyProtection="0">
      <alignment vertical="center"/>
    </xf>
    <xf numFmtId="0" fontId="52" fillId="43" borderId="0" applyNumberFormat="0" applyBorder="0" applyAlignment="0" applyProtection="0">
      <alignment vertical="center"/>
    </xf>
    <xf numFmtId="0" fontId="8" fillId="0" borderId="0"/>
  </cellStyleXfs>
  <cellXfs count="270">
    <xf numFmtId="0" fontId="0" fillId="0" borderId="0" xfId="0"/>
    <xf numFmtId="0" fontId="1" fillId="0" borderId="0" xfId="0" applyFont="1" applyFill="1" applyBorder="1" applyAlignment="1"/>
    <xf numFmtId="0" fontId="0" fillId="0" borderId="0" xfId="0" applyFill="1" applyBorder="1" applyAlignment="1"/>
    <xf numFmtId="0" fontId="2" fillId="2" borderId="1" xfId="0" applyFont="1" applyFill="1" applyBorder="1" applyAlignment="1">
      <alignment horizontal="left" vertical="top" wrapText="1"/>
    </xf>
    <xf numFmtId="180" fontId="0" fillId="0" borderId="1" xfId="0" applyNumberFormat="1" applyFill="1" applyBorder="1" applyAlignment="1">
      <alignment horizontal="right" vertical="top"/>
    </xf>
    <xf numFmtId="181" fontId="0" fillId="0" borderId="0" xfId="0" applyNumberFormat="1" applyFill="1" applyBorder="1" applyAlignment="1">
      <alignment horizontal="right" vertical="top"/>
    </xf>
    <xf numFmtId="0" fontId="1" fillId="0" borderId="0" xfId="0" applyFont="1" applyAlignment="1">
      <alignment horizontal="left"/>
    </xf>
    <xf numFmtId="0" fontId="2" fillId="2" borderId="2" xfId="0" applyFont="1" applyFill="1" applyBorder="1" applyAlignment="1">
      <alignment horizontal="left" vertical="top" wrapText="1"/>
    </xf>
    <xf numFmtId="0" fontId="0" fillId="0" borderId="2" xfId="0" applyBorder="1"/>
    <xf numFmtId="0" fontId="3" fillId="3" borderId="2" xfId="0" applyFont="1" applyFill="1" applyBorder="1" applyAlignment="1">
      <alignment horizontal="right" wrapText="1"/>
    </xf>
    <xf numFmtId="0" fontId="4" fillId="0" borderId="0" xfId="0" applyFont="1" applyAlignment="1">
      <alignment horizontal="right"/>
    </xf>
    <xf numFmtId="0" fontId="4" fillId="3" borderId="3" xfId="0" applyFont="1" applyFill="1" applyBorder="1" applyAlignment="1">
      <alignment horizontal="right" wrapText="1"/>
    </xf>
    <xf numFmtId="0" fontId="5" fillId="3" borderId="3" xfId="0" applyFont="1" applyFill="1" applyBorder="1" applyAlignment="1">
      <alignment horizontal="right" wrapText="1"/>
    </xf>
    <xf numFmtId="0" fontId="6" fillId="0" borderId="0" xfId="49" applyFont="1" applyAlignment="1">
      <alignment horizontal="center" vertical="center" wrapText="1"/>
    </xf>
    <xf numFmtId="0" fontId="7" fillId="0" borderId="0" xfId="49" applyFont="1" applyAlignment="1">
      <alignment horizontal="center" vertical="center" wrapText="1"/>
    </xf>
    <xf numFmtId="0" fontId="8" fillId="0" borderId="0" xfId="49" applyFont="1" applyFill="1" applyAlignment="1">
      <alignment horizontal="center" vertical="center"/>
    </xf>
    <xf numFmtId="0" fontId="8" fillId="0" borderId="4" xfId="49" applyFont="1" applyFill="1" applyBorder="1" applyAlignment="1">
      <alignment horizontal="center"/>
    </xf>
    <xf numFmtId="0" fontId="8" fillId="0" borderId="0" xfId="49" applyFont="1" applyFill="1" applyAlignment="1">
      <alignment horizontal="center"/>
    </xf>
    <xf numFmtId="0" fontId="8" fillId="0" borderId="4" xfId="49" applyFont="1" applyFill="1" applyBorder="1" applyAlignment="1"/>
    <xf numFmtId="0" fontId="9" fillId="0" borderId="0" xfId="0" applyFont="1" applyFill="1" applyAlignment="1">
      <alignment horizontal="right" vertical="center"/>
    </xf>
    <xf numFmtId="0" fontId="8" fillId="0" borderId="5" xfId="49" applyFont="1" applyFill="1" applyBorder="1" applyAlignment="1">
      <alignment horizontal="center" vertical="center"/>
    </xf>
    <xf numFmtId="0" fontId="8" fillId="0" borderId="6" xfId="49" applyFont="1" applyFill="1" applyBorder="1" applyAlignment="1">
      <alignment horizontal="center" vertical="center"/>
    </xf>
    <xf numFmtId="0" fontId="8" fillId="0" borderId="7" xfId="49" applyFont="1" applyFill="1" applyBorder="1" applyAlignment="1">
      <alignment horizontal="center" vertical="center"/>
    </xf>
    <xf numFmtId="0" fontId="8" fillId="0" borderId="8" xfId="49" applyFont="1" applyFill="1" applyBorder="1" applyAlignment="1">
      <alignment horizontal="center" vertical="center"/>
    </xf>
    <xf numFmtId="0" fontId="8" fillId="0" borderId="9" xfId="49" applyFont="1" applyFill="1" applyBorder="1" applyAlignment="1">
      <alignment vertical="center"/>
    </xf>
    <xf numFmtId="0" fontId="8" fillId="0" borderId="10" xfId="49" applyFont="1" applyFill="1" applyBorder="1" applyAlignment="1">
      <alignment horizontal="center" vertical="center" wrapText="1"/>
    </xf>
    <xf numFmtId="0" fontId="8" fillId="0" borderId="2" xfId="49" applyFont="1" applyFill="1" applyBorder="1" applyAlignment="1">
      <alignment horizontal="center" vertical="center"/>
    </xf>
    <xf numFmtId="0" fontId="10" fillId="0" borderId="9" xfId="49" applyFont="1" applyFill="1" applyBorder="1" applyAlignment="1">
      <alignment horizontal="center" vertical="center"/>
    </xf>
    <xf numFmtId="0" fontId="10" fillId="0" borderId="11" xfId="49" applyFont="1" applyFill="1" applyBorder="1" applyAlignment="1">
      <alignment horizontal="right" vertical="center" wrapText="1"/>
    </xf>
    <xf numFmtId="0" fontId="10" fillId="0" borderId="12" xfId="49" applyFont="1" applyFill="1" applyBorder="1" applyAlignment="1">
      <alignment horizontal="right" vertical="center"/>
    </xf>
    <xf numFmtId="0" fontId="10" fillId="0" borderId="5" xfId="49" applyFont="1" applyFill="1" applyBorder="1" applyAlignment="1">
      <alignment horizontal="right" vertical="center"/>
    </xf>
    <xf numFmtId="0" fontId="8" fillId="0" borderId="13" xfId="49" applyFont="1" applyFill="1" applyBorder="1" applyAlignment="1">
      <alignment horizontal="center" vertical="center"/>
    </xf>
    <xf numFmtId="0" fontId="8" fillId="0" borderId="14" xfId="49" applyFont="1" applyFill="1" applyBorder="1" applyAlignment="1">
      <alignment horizontal="center" vertical="center" wrapText="1"/>
    </xf>
    <xf numFmtId="0" fontId="8" fillId="0" borderId="0" xfId="49" applyFont="1" applyFill="1" applyBorder="1" applyAlignment="1">
      <alignment horizontal="center" vertical="center"/>
    </xf>
    <xf numFmtId="0" fontId="8" fillId="0" borderId="9" xfId="49" applyFont="1" applyFill="1" applyBorder="1" applyAlignment="1">
      <alignment horizontal="center" vertical="center"/>
    </xf>
    <xf numFmtId="49" fontId="8" fillId="0" borderId="13" xfId="49" applyNumberFormat="1" applyFont="1" applyFill="1" applyBorder="1" applyAlignment="1">
      <alignment horizontal="center" vertical="center" wrapText="1"/>
    </xf>
    <xf numFmtId="0" fontId="8" fillId="0" borderId="14" xfId="49" applyFont="1" applyFill="1" applyBorder="1" applyAlignment="1">
      <alignment horizontal="right" vertical="center" wrapText="1"/>
    </xf>
    <xf numFmtId="0" fontId="8" fillId="0" borderId="0" xfId="49" applyFont="1" applyFill="1" applyBorder="1" applyAlignment="1">
      <alignment horizontal="right" vertical="center" wrapText="1"/>
    </xf>
    <xf numFmtId="0" fontId="8" fillId="0" borderId="9" xfId="49" applyFont="1" applyFill="1" applyBorder="1" applyAlignment="1">
      <alignment horizontal="right" vertical="center" wrapText="1"/>
    </xf>
    <xf numFmtId="49" fontId="8" fillId="0" borderId="13" xfId="49" applyNumberFormat="1" applyFont="1" applyFill="1" applyBorder="1" applyAlignment="1">
      <alignment horizontal="center" vertical="center"/>
    </xf>
    <xf numFmtId="0" fontId="8" fillId="0" borderId="14" xfId="49" applyFont="1" applyFill="1" applyBorder="1" applyAlignment="1">
      <alignment horizontal="right" vertical="center"/>
    </xf>
    <xf numFmtId="0" fontId="8" fillId="0" borderId="0" xfId="49" applyFont="1" applyFill="1" applyBorder="1" applyAlignment="1">
      <alignment horizontal="right" vertical="center"/>
    </xf>
    <xf numFmtId="0" fontId="8" fillId="0" borderId="9" xfId="49" applyFont="1" applyFill="1" applyBorder="1" applyAlignment="1">
      <alignment horizontal="right" vertical="center"/>
    </xf>
    <xf numFmtId="49" fontId="8" fillId="0" borderId="15" xfId="49" applyNumberFormat="1" applyFont="1" applyFill="1" applyBorder="1" applyAlignment="1">
      <alignment horizontal="center" vertical="center"/>
    </xf>
    <xf numFmtId="0" fontId="8" fillId="0" borderId="16" xfId="49" applyFont="1" applyFill="1" applyBorder="1" applyAlignment="1">
      <alignment horizontal="right" vertical="center"/>
    </xf>
    <xf numFmtId="0" fontId="8" fillId="0" borderId="4" xfId="49" applyFont="1" applyFill="1" applyBorder="1" applyAlignment="1">
      <alignment horizontal="right" vertical="center"/>
    </xf>
    <xf numFmtId="0" fontId="8" fillId="0" borderId="17" xfId="49" applyFont="1" applyFill="1" applyBorder="1" applyAlignment="1">
      <alignment horizontal="right" vertical="center"/>
    </xf>
    <xf numFmtId="0" fontId="0" fillId="0" borderId="0" xfId="0" applyFont="1" applyFill="1" applyBorder="1" applyAlignment="1"/>
    <xf numFmtId="181" fontId="0" fillId="0" borderId="0" xfId="0" applyNumberFormat="1" applyFont="1" applyFill="1" applyBorder="1" applyAlignment="1">
      <alignment horizontal="right" vertical="top"/>
    </xf>
    <xf numFmtId="180" fontId="0" fillId="0" borderId="1" xfId="0" applyNumberFormat="1" applyFont="1" applyFill="1" applyBorder="1" applyAlignment="1">
      <alignment horizontal="right" vertical="top"/>
    </xf>
    <xf numFmtId="0" fontId="6" fillId="0" borderId="0" xfId="0" applyFont="1" applyFill="1" applyAlignment="1">
      <alignment horizontal="center" wrapText="1"/>
    </xf>
    <xf numFmtId="0" fontId="11" fillId="0" borderId="0" xfId="0" applyFont="1" applyFill="1" applyAlignment="1">
      <alignment horizontal="center" wrapText="1"/>
    </xf>
    <xf numFmtId="0" fontId="12" fillId="0" borderId="0" xfId="0" applyFont="1" applyFill="1" applyAlignment="1">
      <alignment horizontal="center" wrapText="1"/>
    </xf>
    <xf numFmtId="0" fontId="6" fillId="0" borderId="0" xfId="0" applyFont="1" applyFill="1" applyBorder="1" applyAlignment="1">
      <alignment horizontal="center"/>
    </xf>
    <xf numFmtId="0" fontId="13" fillId="0" borderId="0" xfId="0" applyFont="1" applyFill="1" applyBorder="1" applyAlignment="1"/>
    <xf numFmtId="0" fontId="12" fillId="0" borderId="5" xfId="0" applyFont="1" applyFill="1" applyBorder="1" applyAlignment="1">
      <alignment horizontal="center" vertical="center"/>
    </xf>
    <xf numFmtId="0" fontId="12" fillId="0" borderId="6" xfId="0" applyFont="1" applyFill="1" applyBorder="1" applyAlignment="1">
      <alignment horizontal="centerContinuous"/>
    </xf>
    <xf numFmtId="0" fontId="12" fillId="0" borderId="7" xfId="0" applyFont="1" applyFill="1" applyBorder="1" applyAlignment="1">
      <alignment horizontal="centerContinuous"/>
    </xf>
    <xf numFmtId="0" fontId="12" fillId="0" borderId="8" xfId="0" applyFont="1" applyFill="1" applyBorder="1" applyAlignment="1">
      <alignment horizontal="centerContinuous"/>
    </xf>
    <xf numFmtId="0" fontId="11" fillId="0" borderId="9" xfId="0" applyFont="1" applyFill="1" applyBorder="1" applyAlignment="1">
      <alignment vertical="center"/>
    </xf>
    <xf numFmtId="0" fontId="12" fillId="0" borderId="10" xfId="0" applyFont="1" applyFill="1" applyBorder="1" applyAlignment="1">
      <alignment horizontal="center"/>
    </xf>
    <xf numFmtId="0" fontId="12" fillId="0" borderId="10" xfId="0" applyFont="1" applyFill="1" applyBorder="1" applyAlignment="1">
      <alignment horizontal="center" vertical="center"/>
    </xf>
    <xf numFmtId="0" fontId="12" fillId="0" borderId="13" xfId="0" applyFont="1" applyFill="1" applyBorder="1" applyAlignment="1">
      <alignment horizontal="center"/>
    </xf>
    <xf numFmtId="0" fontId="12" fillId="0" borderId="11" xfId="0" applyFont="1" applyFill="1" applyBorder="1" applyAlignment="1">
      <alignment horizontal="center" vertical="center"/>
    </xf>
    <xf numFmtId="0" fontId="11" fillId="0" borderId="17" xfId="0" applyFont="1" applyFill="1" applyBorder="1" applyAlignment="1">
      <alignment vertical="center"/>
    </xf>
    <xf numFmtId="0" fontId="12" fillId="0" borderId="15" xfId="0" applyFont="1" applyFill="1" applyBorder="1" applyAlignment="1">
      <alignment horizontal="center"/>
    </xf>
    <xf numFmtId="0" fontId="11" fillId="0" borderId="15" xfId="0" applyFont="1" applyFill="1" applyBorder="1" applyAlignment="1">
      <alignment vertical="center"/>
    </xf>
    <xf numFmtId="0" fontId="12" fillId="0" borderId="17" xfId="0" applyFont="1" applyFill="1" applyBorder="1" applyAlignment="1">
      <alignment horizontal="left"/>
    </xf>
    <xf numFmtId="0" fontId="11" fillId="0" borderId="16" xfId="0" applyFont="1" applyFill="1" applyBorder="1" applyAlignment="1">
      <alignment vertical="center"/>
    </xf>
    <xf numFmtId="0" fontId="11" fillId="0" borderId="0" xfId="0" applyFont="1" applyFill="1" applyBorder="1" applyAlignment="1">
      <alignment vertical="center"/>
    </xf>
    <xf numFmtId="0" fontId="12" fillId="0" borderId="0" xfId="0" applyFont="1" applyFill="1" applyBorder="1" applyAlignment="1">
      <alignment horizontal="center"/>
    </xf>
    <xf numFmtId="0" fontId="12" fillId="0" borderId="0" xfId="0" applyFont="1" applyFill="1" applyBorder="1" applyAlignment="1">
      <alignment horizontal="left"/>
    </xf>
    <xf numFmtId="182" fontId="12" fillId="0" borderId="0" xfId="0" applyNumberFormat="1" applyFont="1" applyFill="1" applyAlignment="1">
      <alignment horizontal="center"/>
    </xf>
    <xf numFmtId="182" fontId="12" fillId="0" borderId="0" xfId="0" applyNumberFormat="1" applyFont="1" applyFill="1" applyAlignment="1">
      <alignment horizontal="right" indent="1"/>
    </xf>
    <xf numFmtId="182" fontId="7" fillId="0" borderId="0" xfId="0" applyNumberFormat="1" applyFont="1" applyFill="1" applyAlignment="1">
      <alignment horizontal="center"/>
    </xf>
    <xf numFmtId="182" fontId="7" fillId="0" borderId="0" xfId="0" applyNumberFormat="1" applyFont="1" applyFill="1" applyAlignment="1">
      <alignment horizontal="right" indent="1"/>
    </xf>
    <xf numFmtId="182" fontId="12" fillId="0" borderId="0" xfId="0" applyNumberFormat="1" applyFont="1" applyFill="1" applyAlignment="1">
      <alignment horizontal="center" wrapText="1"/>
    </xf>
    <xf numFmtId="182" fontId="7" fillId="0" borderId="0" xfId="0" applyNumberFormat="1" applyFont="1" applyFill="1" applyAlignment="1">
      <alignment horizontal="center" wrapText="1"/>
    </xf>
    <xf numFmtId="0" fontId="14" fillId="3" borderId="18" xfId="0" applyFont="1" applyFill="1" applyBorder="1" applyAlignment="1">
      <alignment horizontal="center" wrapText="1"/>
    </xf>
    <xf numFmtId="0" fontId="14" fillId="3" borderId="19" xfId="0" applyFont="1" applyFill="1" applyBorder="1" applyAlignment="1">
      <alignment horizontal="center" wrapText="1"/>
    </xf>
    <xf numFmtId="0" fontId="14" fillId="3" borderId="20" xfId="0" applyFont="1" applyFill="1" applyBorder="1" applyAlignment="1">
      <alignment horizontal="center" wrapText="1"/>
    </xf>
    <xf numFmtId="0" fontId="14" fillId="3" borderId="21" xfId="0" applyFont="1" applyFill="1" applyBorder="1" applyAlignment="1">
      <alignment horizontal="center" wrapText="1"/>
    </xf>
    <xf numFmtId="0" fontId="14" fillId="3" borderId="22" xfId="0" applyFont="1" applyFill="1" applyBorder="1" applyAlignment="1">
      <alignment horizontal="center" wrapText="1"/>
    </xf>
    <xf numFmtId="0" fontId="14" fillId="3" borderId="23" xfId="0" applyFont="1" applyFill="1" applyBorder="1" applyAlignment="1">
      <alignment horizontal="center" wrapText="1"/>
    </xf>
    <xf numFmtId="0" fontId="14" fillId="3" borderId="24" xfId="0" applyFont="1" applyFill="1" applyBorder="1" applyAlignment="1">
      <alignment horizontal="center" wrapText="1"/>
    </xf>
    <xf numFmtId="0" fontId="3" fillId="3" borderId="25" xfId="0" applyFont="1" applyFill="1" applyBorder="1" applyAlignment="1">
      <alignment horizontal="center" wrapText="1"/>
    </xf>
    <xf numFmtId="0" fontId="3" fillId="3" borderId="26" xfId="0" applyFont="1" applyFill="1" applyBorder="1" applyAlignment="1">
      <alignment horizontal="center" wrapText="1"/>
    </xf>
    <xf numFmtId="0" fontId="3" fillId="3" borderId="27" xfId="0" applyFont="1" applyFill="1" applyBorder="1" applyAlignment="1">
      <alignment horizontal="center" wrapText="1"/>
    </xf>
    <xf numFmtId="0" fontId="3" fillId="3" borderId="28" xfId="0" applyFont="1" applyFill="1" applyBorder="1" applyAlignment="1">
      <alignment horizontal="center" wrapText="1"/>
    </xf>
    <xf numFmtId="0" fontId="3" fillId="3" borderId="29" xfId="0" applyFont="1" applyFill="1" applyBorder="1" applyAlignment="1">
      <alignment horizontal="center" wrapText="1"/>
    </xf>
    <xf numFmtId="0" fontId="3" fillId="3" borderId="30" xfId="0" applyFont="1" applyFill="1" applyBorder="1" applyAlignment="1">
      <alignment horizontal="center" wrapText="1"/>
    </xf>
    <xf numFmtId="0" fontId="3" fillId="3" borderId="31" xfId="0" applyFont="1" applyFill="1" applyBorder="1" applyAlignment="1">
      <alignment horizontal="center" wrapText="1"/>
    </xf>
    <xf numFmtId="0" fontId="3" fillId="3" borderId="32" xfId="0" applyFont="1" applyFill="1" applyBorder="1" applyAlignment="1">
      <alignment horizontal="center" wrapText="1"/>
    </xf>
    <xf numFmtId="0" fontId="15" fillId="3" borderId="33" xfId="0" applyFont="1" applyFill="1" applyBorder="1" applyAlignment="1">
      <alignment horizontal="left" wrapText="1"/>
    </xf>
    <xf numFmtId="0" fontId="15" fillId="3" borderId="34" xfId="0" applyFont="1" applyFill="1" applyBorder="1" applyAlignment="1">
      <alignment horizontal="right" wrapText="1"/>
    </xf>
    <xf numFmtId="0" fontId="15" fillId="3" borderId="35" xfId="0" applyFont="1" applyFill="1" applyBorder="1" applyAlignment="1">
      <alignment horizontal="right" wrapText="1"/>
    </xf>
    <xf numFmtId="0" fontId="16" fillId="3" borderId="36" xfId="0" applyFont="1" applyFill="1" applyBorder="1" applyAlignment="1">
      <alignment horizontal="left" wrapText="1"/>
    </xf>
    <xf numFmtId="0" fontId="0" fillId="3" borderId="24" xfId="0" applyFill="1" applyBorder="1"/>
    <xf numFmtId="0" fontId="0" fillId="3" borderId="37" xfId="0" applyFill="1" applyBorder="1"/>
    <xf numFmtId="0" fontId="16" fillId="3" borderId="38" xfId="0" applyFont="1" applyFill="1" applyBorder="1" applyAlignment="1">
      <alignment horizontal="left" wrapText="1"/>
    </xf>
    <xf numFmtId="0" fontId="16" fillId="3" borderId="39" xfId="0" applyFont="1" applyFill="1" applyBorder="1" applyAlignment="1">
      <alignment horizontal="left" wrapText="1"/>
    </xf>
    <xf numFmtId="0" fontId="16" fillId="3" borderId="24" xfId="0" applyFont="1" applyFill="1" applyBorder="1" applyAlignment="1">
      <alignment horizontal="right" wrapText="1"/>
    </xf>
    <xf numFmtId="0" fontId="16" fillId="3" borderId="37" xfId="0" applyFont="1" applyFill="1" applyBorder="1" applyAlignment="1">
      <alignment horizontal="right" wrapText="1"/>
    </xf>
    <xf numFmtId="49" fontId="16" fillId="3" borderId="39" xfId="0" applyNumberFormat="1" applyFont="1" applyFill="1" applyBorder="1" applyAlignment="1">
      <alignment horizontal="left" wrapText="1"/>
    </xf>
    <xf numFmtId="0" fontId="16" fillId="3" borderId="40" xfId="0" applyFont="1" applyFill="1" applyBorder="1" applyAlignment="1">
      <alignment horizontal="left" wrapText="1"/>
    </xf>
    <xf numFmtId="0" fontId="16" fillId="3" borderId="41" xfId="0" applyFont="1" applyFill="1" applyBorder="1" applyAlignment="1">
      <alignment horizontal="right" wrapText="1"/>
    </xf>
    <xf numFmtId="0" fontId="16" fillId="3" borderId="42" xfId="0" applyFont="1" applyFill="1" applyBorder="1" applyAlignment="1">
      <alignment horizontal="right" wrapText="1"/>
    </xf>
    <xf numFmtId="0" fontId="16" fillId="3" borderId="24" xfId="0" applyFont="1" applyFill="1" applyBorder="1" applyAlignment="1">
      <alignment horizontal="left" wrapText="1"/>
    </xf>
    <xf numFmtId="183" fontId="16" fillId="3" borderId="39" xfId="0" applyNumberFormat="1" applyFont="1" applyFill="1" applyBorder="1" applyAlignment="1">
      <alignment horizontal="left" wrapText="1"/>
    </xf>
    <xf numFmtId="184" fontId="16" fillId="3" borderId="39" xfId="0" applyNumberFormat="1" applyFont="1" applyFill="1" applyBorder="1" applyAlignment="1">
      <alignment horizontal="left" wrapText="1"/>
    </xf>
    <xf numFmtId="0" fontId="17" fillId="3" borderId="24" xfId="0" applyFont="1" applyFill="1" applyBorder="1" applyAlignment="1">
      <alignment horizontal="center" wrapText="1"/>
    </xf>
    <xf numFmtId="0" fontId="14" fillId="3" borderId="43" xfId="0" applyFont="1" applyFill="1" applyBorder="1" applyAlignment="1">
      <alignment horizontal="center" wrapText="1"/>
    </xf>
    <xf numFmtId="0" fontId="3" fillId="3" borderId="44" xfId="0" applyFont="1" applyFill="1" applyBorder="1" applyAlignment="1">
      <alignment horizontal="center" wrapText="1"/>
    </xf>
    <xf numFmtId="0" fontId="3" fillId="3" borderId="45" xfId="0" applyFont="1" applyFill="1" applyBorder="1" applyAlignment="1">
      <alignment horizontal="center" wrapText="1"/>
    </xf>
    <xf numFmtId="0" fontId="3" fillId="3" borderId="46" xfId="0" applyFont="1" applyFill="1" applyBorder="1" applyAlignment="1">
      <alignment horizontal="center" wrapText="1"/>
    </xf>
    <xf numFmtId="0" fontId="15" fillId="3" borderId="24" xfId="0" applyFont="1" applyFill="1" applyBorder="1" applyAlignment="1">
      <alignment horizontal="left" wrapText="1"/>
    </xf>
    <xf numFmtId="0" fontId="15" fillId="3" borderId="24" xfId="0" applyFont="1" applyFill="1" applyBorder="1" applyAlignment="1">
      <alignment horizontal="right" wrapText="1"/>
    </xf>
    <xf numFmtId="183" fontId="15" fillId="3" borderId="24" xfId="0" applyNumberFormat="1" applyFont="1" applyFill="1" applyBorder="1" applyAlignment="1">
      <alignment horizontal="left" wrapText="1"/>
    </xf>
    <xf numFmtId="184" fontId="15" fillId="3" borderId="24" xfId="0" applyNumberFormat="1" applyFont="1" applyFill="1" applyBorder="1" applyAlignment="1">
      <alignment horizontal="left" wrapText="1"/>
    </xf>
    <xf numFmtId="0" fontId="18" fillId="4" borderId="0" xfId="0" applyFont="1" applyFill="1" applyAlignment="1">
      <alignment wrapText="1"/>
    </xf>
    <xf numFmtId="0" fontId="0" fillId="4" borderId="0" xfId="0" applyFill="1"/>
    <xf numFmtId="0" fontId="18" fillId="4" borderId="0" xfId="0" applyFont="1" applyFill="1" applyAlignment="1">
      <alignment horizontal="left" wrapText="1"/>
    </xf>
    <xf numFmtId="183" fontId="18" fillId="4" borderId="0" xfId="0" applyNumberFormat="1" applyFont="1" applyFill="1" applyAlignment="1">
      <alignment wrapText="1"/>
    </xf>
    <xf numFmtId="184" fontId="18" fillId="4" borderId="0" xfId="0" applyNumberFormat="1" applyFont="1" applyFill="1" applyAlignment="1">
      <alignment wrapText="1"/>
    </xf>
    <xf numFmtId="0" fontId="0" fillId="5" borderId="0" xfId="0" applyFill="1" applyAlignment="1">
      <alignment horizontal="center" wrapText="1"/>
    </xf>
    <xf numFmtId="0" fontId="0" fillId="0" borderId="0" xfId="0" applyAlignment="1">
      <alignment horizontal="center"/>
    </xf>
    <xf numFmtId="0" fontId="0" fillId="6" borderId="2" xfId="0" applyFill="1" applyBorder="1" applyAlignment="1">
      <alignment wrapText="1"/>
    </xf>
    <xf numFmtId="0" fontId="19" fillId="6" borderId="2" xfId="0" applyFont="1" applyFill="1" applyBorder="1" applyAlignment="1">
      <alignment horizontal="center" vertical="center" wrapText="1"/>
    </xf>
    <xf numFmtId="0" fontId="20" fillId="6" borderId="2" xfId="0" applyFont="1" applyFill="1" applyBorder="1" applyAlignment="1">
      <alignment horizontal="center" vertical="center"/>
    </xf>
    <xf numFmtId="0" fontId="0" fillId="0" borderId="0" xfId="0" applyAlignment="1">
      <alignment wrapText="1"/>
    </xf>
    <xf numFmtId="185" fontId="0" fillId="0" borderId="2" xfId="0" applyNumberFormat="1" applyBorder="1"/>
    <xf numFmtId="185" fontId="0" fillId="0" borderId="0" xfId="0" applyNumberFormat="1"/>
    <xf numFmtId="0" fontId="2" fillId="2" borderId="10" xfId="0" applyFont="1" applyFill="1" applyBorder="1" applyAlignment="1">
      <alignment horizontal="left" vertical="top" wrapText="1"/>
    </xf>
    <xf numFmtId="0" fontId="0" fillId="6" borderId="2" xfId="0" applyFill="1" applyBorder="1"/>
    <xf numFmtId="181" fontId="0" fillId="0" borderId="2" xfId="0" applyNumberFormat="1" applyFill="1" applyBorder="1" applyAlignment="1">
      <alignment horizontal="right" vertical="top"/>
    </xf>
    <xf numFmtId="0" fontId="21" fillId="7" borderId="2" xfId="0" applyFont="1" applyFill="1" applyBorder="1"/>
    <xf numFmtId="0" fontId="21" fillId="0" borderId="0" xfId="0" applyFont="1"/>
    <xf numFmtId="0" fontId="22" fillId="5" borderId="0" xfId="0" applyFont="1" applyFill="1"/>
    <xf numFmtId="0" fontId="0" fillId="5" borderId="0" xfId="0" applyFill="1"/>
    <xf numFmtId="185" fontId="0" fillId="5" borderId="0" xfId="0" applyNumberFormat="1" applyFill="1"/>
    <xf numFmtId="0" fontId="0" fillId="8" borderId="0" xfId="0" applyFill="1" applyAlignment="1">
      <alignment horizontal="center" vertical="center" wrapText="1"/>
    </xf>
    <xf numFmtId="0" fontId="22" fillId="7" borderId="0" xfId="0" applyFont="1" applyFill="1" applyAlignment="1">
      <alignment horizontal="center" vertical="center"/>
    </xf>
    <xf numFmtId="0" fontId="0" fillId="5" borderId="0" xfId="0" applyFill="1" applyAlignment="1">
      <alignment horizontal="center" vertical="center" wrapText="1"/>
    </xf>
    <xf numFmtId="180" fontId="0" fillId="0" borderId="47" xfId="0" applyNumberFormat="1" applyFill="1" applyBorder="1" applyAlignment="1">
      <alignment horizontal="right" vertical="top"/>
    </xf>
    <xf numFmtId="180" fontId="0" fillId="6" borderId="2" xfId="0" applyNumberFormat="1" applyFill="1" applyBorder="1" applyAlignment="1">
      <alignment horizontal="left" wrapText="1"/>
    </xf>
    <xf numFmtId="180" fontId="0" fillId="0" borderId="2" xfId="0" applyNumberFormat="1" applyFill="1" applyBorder="1" applyAlignment="1">
      <alignment horizontal="right" vertical="top"/>
    </xf>
    <xf numFmtId="185" fontId="3" fillId="3" borderId="2" xfId="0" applyNumberFormat="1" applyFont="1" applyFill="1" applyBorder="1" applyAlignment="1">
      <alignment horizontal="right" wrapText="1"/>
    </xf>
    <xf numFmtId="0" fontId="4" fillId="0" borderId="2" xfId="0" applyFont="1" applyBorder="1" applyAlignment="1">
      <alignment horizontal="right"/>
    </xf>
    <xf numFmtId="0" fontId="0" fillId="0" borderId="2" xfId="0" applyBorder="1" applyAlignment="1">
      <alignment horizontal="right"/>
    </xf>
    <xf numFmtId="0" fontId="4" fillId="3" borderId="2" xfId="0" applyFont="1" applyFill="1" applyBorder="1" applyAlignment="1">
      <alignment horizontal="right" wrapText="1"/>
    </xf>
    <xf numFmtId="185" fontId="5" fillId="3" borderId="2" xfId="0" applyNumberFormat="1" applyFont="1" applyFill="1" applyBorder="1" applyAlignment="1">
      <alignment horizontal="right" wrapText="1"/>
    </xf>
    <xf numFmtId="185" fontId="5" fillId="3" borderId="10" xfId="0" applyNumberFormat="1" applyFont="1" applyFill="1" applyBorder="1" applyAlignment="1">
      <alignment horizontal="right" wrapText="1"/>
    </xf>
    <xf numFmtId="185" fontId="0" fillId="0" borderId="10" xfId="0" applyNumberFormat="1" applyBorder="1"/>
    <xf numFmtId="0" fontId="2" fillId="9" borderId="48" xfId="0" applyFont="1" applyFill="1" applyBorder="1" applyAlignment="1">
      <alignment horizontal="left" vertical="top" wrapText="1"/>
    </xf>
    <xf numFmtId="181" fontId="0" fillId="9" borderId="0" xfId="0" applyNumberFormat="1" applyFill="1" applyBorder="1" applyAlignment="1">
      <alignment horizontal="right" vertical="top"/>
    </xf>
    <xf numFmtId="0" fontId="3" fillId="3" borderId="0" xfId="0" applyFont="1" applyFill="1" applyBorder="1" applyAlignment="1">
      <alignment horizontal="right" wrapText="1"/>
    </xf>
    <xf numFmtId="0" fontId="0" fillId="0" borderId="0" xfId="0" applyBorder="1"/>
    <xf numFmtId="0" fontId="0" fillId="0" borderId="0" xfId="0" applyAlignment="1">
      <alignment horizontal="center" vertical="center" wrapText="1"/>
    </xf>
    <xf numFmtId="0" fontId="0" fillId="6" borderId="2" xfId="0" applyNumberFormat="1" applyFill="1" applyBorder="1" applyAlignment="1">
      <alignment wrapText="1"/>
    </xf>
    <xf numFmtId="0" fontId="23" fillId="7" borderId="0" xfId="0" applyFont="1" applyFill="1"/>
    <xf numFmtId="185" fontId="23" fillId="7" borderId="0" xfId="0" applyNumberFormat="1" applyFont="1" applyFill="1"/>
    <xf numFmtId="0" fontId="0" fillId="7" borderId="0" xfId="0" applyFill="1" applyAlignment="1">
      <alignment horizontal="center" vertical="center" wrapText="1"/>
    </xf>
    <xf numFmtId="0" fontId="24" fillId="8" borderId="0" xfId="0" applyFont="1" applyFill="1" applyAlignment="1">
      <alignment horizontal="center" vertical="center" wrapText="1"/>
    </xf>
    <xf numFmtId="0" fontId="19" fillId="0" borderId="0" xfId="0" applyFont="1" applyAlignment="1">
      <alignment horizontal="center" vertical="center"/>
    </xf>
    <xf numFmtId="0" fontId="23" fillId="5" borderId="0" xfId="0" applyFont="1" applyFill="1" applyAlignment="1">
      <alignment horizontal="center"/>
    </xf>
    <xf numFmtId="0" fontId="23" fillId="5" borderId="2" xfId="0" applyFont="1" applyFill="1" applyBorder="1" applyAlignment="1">
      <alignment horizontal="center"/>
    </xf>
    <xf numFmtId="185" fontId="23" fillId="5" borderId="0" xfId="0" applyNumberFormat="1" applyFont="1" applyFill="1" applyAlignment="1">
      <alignment horizontal="center"/>
    </xf>
    <xf numFmtId="0" fontId="0" fillId="0" borderId="10" xfId="0" applyBorder="1"/>
    <xf numFmtId="180" fontId="0" fillId="0" borderId="10" xfId="0" applyNumberFormat="1" applyFill="1" applyBorder="1" applyAlignment="1">
      <alignment horizontal="right" vertical="top"/>
    </xf>
    <xf numFmtId="0" fontId="25" fillId="5" borderId="0" xfId="0" applyFont="1" applyFill="1" applyAlignment="1">
      <alignment horizontal="center"/>
    </xf>
    <xf numFmtId="0" fontId="21" fillId="5" borderId="0" xfId="0" applyFont="1" applyFill="1"/>
    <xf numFmtId="0" fontId="24" fillId="8" borderId="0" xfId="0" applyFont="1" applyFill="1" applyAlignment="1">
      <alignment horizontal="center" vertical="center"/>
    </xf>
    <xf numFmtId="0" fontId="0" fillId="0" borderId="2" xfId="0" applyNumberFormat="1" applyBorder="1"/>
    <xf numFmtId="0" fontId="0" fillId="10" borderId="0" xfId="0" applyFill="1" applyAlignment="1">
      <alignment horizontal="center"/>
    </xf>
    <xf numFmtId="0" fontId="26" fillId="6" borderId="2" xfId="0" applyFont="1" applyFill="1" applyBorder="1" applyAlignment="1">
      <alignment horizontal="right" vertical="center" wrapText="1"/>
    </xf>
    <xf numFmtId="0" fontId="1" fillId="6" borderId="2" xfId="0" applyFont="1" applyFill="1" applyBorder="1" applyAlignment="1">
      <alignment horizontal="center" vertical="center"/>
    </xf>
    <xf numFmtId="0" fontId="26" fillId="11" borderId="2" xfId="0" applyFont="1" applyFill="1" applyBorder="1" applyAlignment="1">
      <alignment horizontal="right" vertical="center" wrapText="1"/>
    </xf>
    <xf numFmtId="0" fontId="26" fillId="0" borderId="2" xfId="0" applyFont="1" applyFill="1" applyBorder="1" applyAlignment="1">
      <alignment horizontal="right" vertical="center" wrapText="1"/>
    </xf>
    <xf numFmtId="185" fontId="26" fillId="0" borderId="2" xfId="0" applyNumberFormat="1" applyFont="1" applyFill="1" applyBorder="1" applyAlignment="1">
      <alignment horizontal="right" vertical="center" wrapText="1"/>
    </xf>
    <xf numFmtId="0" fontId="23" fillId="5" borderId="0" xfId="0" applyFont="1" applyFill="1"/>
    <xf numFmtId="186" fontId="23" fillId="5" borderId="0" xfId="0" applyNumberFormat="1" applyFont="1" applyFill="1"/>
    <xf numFmtId="0" fontId="0" fillId="5" borderId="2" xfId="0" applyFill="1" applyBorder="1" applyAlignment="1">
      <alignment wrapText="1"/>
    </xf>
    <xf numFmtId="0" fontId="0" fillId="5" borderId="2" xfId="0" applyFill="1" applyBorder="1"/>
    <xf numFmtId="0" fontId="27" fillId="0" borderId="2" xfId="0" applyFont="1" applyBorder="1"/>
    <xf numFmtId="0" fontId="23" fillId="0" borderId="0" xfId="0" applyFont="1" applyAlignment="1">
      <alignment horizontal="center"/>
    </xf>
    <xf numFmtId="185" fontId="28" fillId="0" borderId="2" xfId="0" applyNumberFormat="1" applyFont="1" applyBorder="1"/>
    <xf numFmtId="0" fontId="0" fillId="5" borderId="2" xfId="0" applyFont="1" applyFill="1" applyBorder="1" applyAlignment="1">
      <alignment wrapText="1"/>
    </xf>
    <xf numFmtId="185" fontId="27" fillId="0" borderId="2" xfId="0" applyNumberFormat="1" applyFont="1" applyBorder="1"/>
    <xf numFmtId="0" fontId="29" fillId="5" borderId="2" xfId="0" applyFont="1" applyFill="1" applyBorder="1" applyAlignment="1">
      <alignment wrapText="1"/>
    </xf>
    <xf numFmtId="0" fontId="21" fillId="5" borderId="0" xfId="0" applyFont="1" applyFill="1" applyAlignment="1">
      <alignment wrapText="1"/>
    </xf>
    <xf numFmtId="187" fontId="30" fillId="5" borderId="0" xfId="0" applyNumberFormat="1" applyFont="1" applyFill="1"/>
    <xf numFmtId="0" fontId="31" fillId="5" borderId="2" xfId="0" applyNumberFormat="1" applyFont="1" applyFill="1" applyBorder="1"/>
    <xf numFmtId="0" fontId="31" fillId="5" borderId="2" xfId="0" applyNumberFormat="1" applyFont="1" applyFill="1" applyBorder="1"/>
    <xf numFmtId="0" fontId="32" fillId="2" borderId="2" xfId="0" applyFont="1" applyFill="1" applyBorder="1" applyAlignment="1">
      <alignment horizontal="left" vertical="top" wrapText="1"/>
    </xf>
    <xf numFmtId="185" fontId="31" fillId="0" borderId="2" xfId="0" applyNumberFormat="1" applyFont="1" applyBorder="1"/>
    <xf numFmtId="0" fontId="0" fillId="11" borderId="2" xfId="0" applyFill="1" applyBorder="1" applyAlignment="1">
      <alignment horizontal="right"/>
    </xf>
    <xf numFmtId="185" fontId="0" fillId="0" borderId="2" xfId="0" applyNumberFormat="1" applyBorder="1" applyAlignment="1">
      <alignment horizontal="right"/>
    </xf>
    <xf numFmtId="49" fontId="4" fillId="11" borderId="2" xfId="0" applyNumberFormat="1" applyFont="1" applyFill="1" applyBorder="1" applyAlignment="1">
      <alignment horizontal="right"/>
    </xf>
    <xf numFmtId="0" fontId="0" fillId="0" borderId="2" xfId="0" applyBorder="1" applyAlignment="1">
      <alignment wrapText="1"/>
    </xf>
    <xf numFmtId="0" fontId="0" fillId="0" borderId="2" xfId="0" applyBorder="1" applyAlignment="1">
      <alignment horizontal="right" wrapText="1"/>
    </xf>
    <xf numFmtId="0" fontId="0" fillId="0" borderId="0" xfId="0" applyNumberFormat="1"/>
    <xf numFmtId="0" fontId="0" fillId="7" borderId="0" xfId="0" applyFill="1" applyAlignment="1">
      <alignment horizontal="center"/>
    </xf>
    <xf numFmtId="0" fontId="16" fillId="3" borderId="2" xfId="0" applyFont="1" applyFill="1" applyBorder="1" applyAlignment="1">
      <alignment horizontal="right" wrapText="1"/>
    </xf>
    <xf numFmtId="0" fontId="0" fillId="0" borderId="2" xfId="0" applyFill="1" applyBorder="1"/>
    <xf numFmtId="0" fontId="0" fillId="12" borderId="2" xfId="0" applyFill="1" applyBorder="1"/>
    <xf numFmtId="0" fontId="16" fillId="3" borderId="2" xfId="0" applyNumberFormat="1" applyFont="1" applyFill="1" applyBorder="1" applyAlignment="1">
      <alignment horizontal="right" wrapText="1"/>
    </xf>
    <xf numFmtId="0" fontId="0" fillId="6" borderId="49" xfId="0" applyFill="1" applyBorder="1"/>
    <xf numFmtId="0" fontId="0" fillId="6" borderId="50" xfId="0" applyFill="1" applyBorder="1" applyAlignment="1">
      <alignment wrapText="1"/>
    </xf>
    <xf numFmtId="0" fontId="2" fillId="2" borderId="51" xfId="0" applyNumberFormat="1" applyFont="1" applyFill="1" applyBorder="1" applyAlignment="1">
      <alignment horizontal="right" vertical="top" wrapText="1"/>
    </xf>
    <xf numFmtId="180" fontId="0" fillId="0" borderId="2" xfId="0" applyNumberFormat="1" applyBorder="1" applyAlignment="1">
      <alignment horizontal="right" vertical="top"/>
    </xf>
    <xf numFmtId="0" fontId="2" fillId="2" borderId="52" xfId="0" applyNumberFormat="1" applyFont="1" applyFill="1" applyBorder="1" applyAlignment="1">
      <alignment horizontal="right" vertical="top" wrapText="1"/>
    </xf>
    <xf numFmtId="180" fontId="0" fillId="0" borderId="53" xfId="0" applyNumberFormat="1" applyBorder="1" applyAlignment="1">
      <alignment horizontal="right" vertical="top"/>
    </xf>
    <xf numFmtId="0" fontId="2" fillId="2" borderId="2" xfId="0" applyNumberFormat="1" applyFont="1" applyFill="1" applyBorder="1" applyAlignment="1">
      <alignment horizontal="right" vertical="top" wrapText="1"/>
    </xf>
    <xf numFmtId="0" fontId="0" fillId="7" borderId="0" xfId="0" applyFill="1" applyAlignment="1">
      <alignment horizontal="center"/>
    </xf>
    <xf numFmtId="0" fontId="0" fillId="6" borderId="0" xfId="0" applyFill="1" applyAlignment="1">
      <alignment horizontal="center"/>
    </xf>
    <xf numFmtId="0" fontId="0" fillId="5" borderId="0" xfId="0" applyFont="1" applyFill="1" applyAlignment="1">
      <alignment horizontal="center"/>
    </xf>
    <xf numFmtId="0" fontId="0" fillId="5" borderId="0" xfId="0" applyFill="1" applyAlignment="1">
      <alignment horizontal="center"/>
    </xf>
    <xf numFmtId="0" fontId="4" fillId="5" borderId="0" xfId="0" applyFont="1" applyFill="1" applyAlignment="1">
      <alignment horizontal="center"/>
    </xf>
    <xf numFmtId="0" fontId="0" fillId="6" borderId="54" xfId="0" applyFill="1" applyBorder="1" applyAlignment="1">
      <alignment wrapText="1"/>
    </xf>
    <xf numFmtId="180" fontId="0" fillId="0" borderId="2" xfId="0" applyNumberFormat="1" applyBorder="1"/>
    <xf numFmtId="188" fontId="0" fillId="0" borderId="2" xfId="0" applyNumberFormat="1" applyBorder="1"/>
    <xf numFmtId="0" fontId="0" fillId="0" borderId="55" xfId="0" applyBorder="1"/>
    <xf numFmtId="181" fontId="0" fillId="0" borderId="2" xfId="0" applyNumberFormat="1" applyBorder="1" applyAlignment="1">
      <alignment horizontal="right" vertical="top"/>
    </xf>
    <xf numFmtId="188" fontId="0" fillId="0" borderId="55" xfId="0" applyNumberFormat="1" applyBorder="1"/>
    <xf numFmtId="186" fontId="0" fillId="0" borderId="2" xfId="0" applyNumberFormat="1" applyBorder="1"/>
    <xf numFmtId="186" fontId="0" fillId="0" borderId="53" xfId="0" applyNumberFormat="1" applyBorder="1"/>
    <xf numFmtId="180" fontId="0" fillId="0" borderId="53" xfId="0" applyNumberFormat="1" applyBorder="1"/>
    <xf numFmtId="188" fontId="0" fillId="0" borderId="53" xfId="0" applyNumberFormat="1" applyBorder="1"/>
    <xf numFmtId="188" fontId="0" fillId="0" borderId="56" xfId="0" applyNumberFormat="1" applyBorder="1"/>
    <xf numFmtId="0" fontId="0" fillId="6" borderId="0" xfId="0" applyFill="1" applyAlignment="1">
      <alignment wrapText="1"/>
    </xf>
    <xf numFmtId="186" fontId="0" fillId="0" borderId="0" xfId="0" applyNumberFormat="1"/>
    <xf numFmtId="0" fontId="0" fillId="8" borderId="0" xfId="0" applyFill="1" applyAlignment="1">
      <alignment horizontal="center" vertical="center"/>
    </xf>
    <xf numFmtId="0" fontId="33" fillId="8" borderId="57" xfId="0" applyFont="1" applyFill="1" applyBorder="1" applyAlignment="1">
      <alignment horizontal="center"/>
    </xf>
    <xf numFmtId="0" fontId="33" fillId="8" borderId="0" xfId="0" applyFont="1" applyFill="1" applyAlignment="1">
      <alignment horizontal="center"/>
    </xf>
    <xf numFmtId="0" fontId="33" fillId="8" borderId="58" xfId="0" applyFont="1" applyFill="1" applyBorder="1"/>
    <xf numFmtId="0" fontId="0" fillId="8" borderId="0" xfId="0" applyFill="1" applyAlignment="1">
      <alignment horizontal="center"/>
    </xf>
    <xf numFmtId="0" fontId="0" fillId="8" borderId="58" xfId="0" applyFill="1" applyBorder="1" applyAlignment="1">
      <alignment horizontal="center"/>
    </xf>
    <xf numFmtId="0" fontId="33" fillId="0" borderId="0" xfId="0" applyFont="1" applyAlignment="1">
      <alignment wrapText="1"/>
    </xf>
    <xf numFmtId="0" fontId="0" fillId="6" borderId="0" xfId="0" applyFill="1" applyAlignment="1">
      <alignment horizontal="center" wrapText="1"/>
    </xf>
    <xf numFmtId="0" fontId="0" fillId="6" borderId="59" xfId="0" applyFill="1" applyBorder="1" applyAlignment="1">
      <alignment wrapText="1"/>
    </xf>
    <xf numFmtId="0" fontId="2" fillId="6" borderId="51" xfId="0" applyFont="1" applyFill="1" applyBorder="1" applyAlignment="1">
      <alignment horizontal="left" vertical="top" wrapText="1"/>
    </xf>
    <xf numFmtId="0" fontId="2" fillId="2" borderId="51" xfId="0" applyFont="1" applyFill="1" applyBorder="1" applyAlignment="1">
      <alignment horizontal="right" vertical="top" wrapText="1"/>
    </xf>
    <xf numFmtId="0" fontId="0" fillId="0" borderId="60" xfId="0" applyBorder="1"/>
    <xf numFmtId="180" fontId="0" fillId="0" borderId="51" xfId="0" applyNumberFormat="1" applyFill="1" applyBorder="1" applyAlignment="1">
      <alignment horizontal="right" vertical="top"/>
    </xf>
    <xf numFmtId="188" fontId="0" fillId="0" borderId="60" xfId="0" applyNumberFormat="1" applyBorder="1"/>
    <xf numFmtId="0" fontId="2" fillId="2" borderId="52" xfId="0" applyFont="1" applyFill="1" applyBorder="1" applyAlignment="1">
      <alignment horizontal="right" vertical="top" wrapText="1"/>
    </xf>
    <xf numFmtId="188" fontId="0" fillId="0" borderId="61" xfId="0" applyNumberFormat="1" applyBorder="1"/>
    <xf numFmtId="0" fontId="0" fillId="0" borderId="51" xfId="0" applyBorder="1"/>
    <xf numFmtId="0" fontId="0" fillId="6" borderId="62" xfId="0" applyFill="1" applyBorder="1" applyAlignment="1">
      <alignment wrapText="1"/>
    </xf>
    <xf numFmtId="0" fontId="0" fillId="8" borderId="0" xfId="0" applyFill="1" applyAlignment="1">
      <alignment horizontal="center" wrapText="1"/>
    </xf>
    <xf numFmtId="185" fontId="0" fillId="0" borderId="63" xfId="0" applyNumberFormat="1" applyBorder="1"/>
    <xf numFmtId="185" fontId="0" fillId="0" borderId="56" xfId="0" applyNumberFormat="1" applyBorder="1"/>
    <xf numFmtId="0" fontId="0" fillId="0" borderId="0" xfId="0" applyFont="1" applyAlignment="1">
      <alignment wrapText="1"/>
    </xf>
    <xf numFmtId="0" fontId="0" fillId="6" borderId="0" xfId="0" applyFill="1" applyAlignment="1">
      <alignment horizontal="center" vertical="center"/>
    </xf>
    <xf numFmtId="0" fontId="0" fillId="6" borderId="49" xfId="0" applyFont="1" applyFill="1" applyBorder="1" applyAlignment="1">
      <alignment horizontal="left" vertical="top" wrapText="1"/>
    </xf>
    <xf numFmtId="0" fontId="0" fillId="6" borderId="50" xfId="0" applyFont="1" applyFill="1" applyBorder="1" applyAlignment="1">
      <alignment horizontal="left" vertical="center" wrapText="1"/>
    </xf>
    <xf numFmtId="0" fontId="0" fillId="6" borderId="54" xfId="0" applyFont="1" applyFill="1" applyBorder="1" applyAlignment="1">
      <alignment horizontal="left" vertical="center" wrapText="1"/>
    </xf>
    <xf numFmtId="180" fontId="0" fillId="0" borderId="55" xfId="0" applyNumberFormat="1" applyBorder="1"/>
    <xf numFmtId="180" fontId="0" fillId="0" borderId="56" xfId="0" applyNumberFormat="1" applyBorder="1"/>
    <xf numFmtId="0" fontId="0" fillId="5" borderId="0" xfId="0" applyFill="1" applyAlignment="1">
      <alignment wrapText="1"/>
    </xf>
    <xf numFmtId="0" fontId="0" fillId="6" borderId="0" xfId="0" applyFill="1" applyAlignment="1">
      <alignment horizontal="center" vertical="center" wrapText="1"/>
    </xf>
    <xf numFmtId="0" fontId="0" fillId="6" borderId="50" xfId="0" applyFill="1" applyBorder="1" applyAlignment="1">
      <alignment horizontal="left" vertical="center" wrapText="1"/>
    </xf>
    <xf numFmtId="0" fontId="0" fillId="6" borderId="54" xfId="0" applyFill="1" applyBorder="1" applyAlignment="1">
      <alignment horizontal="left" vertical="center"/>
    </xf>
    <xf numFmtId="189" fontId="0" fillId="0" borderId="2" xfId="0" applyNumberFormat="1" applyBorder="1"/>
    <xf numFmtId="189" fontId="0" fillId="0" borderId="55" xfId="0" applyNumberFormat="1" applyBorder="1"/>
    <xf numFmtId="190" fontId="0" fillId="0" borderId="2" xfId="0" applyNumberFormat="1" applyBorder="1"/>
    <xf numFmtId="190" fontId="0" fillId="0" borderId="55" xfId="0" applyNumberFormat="1" applyBorder="1"/>
    <xf numFmtId="189" fontId="0" fillId="0" borderId="53" xfId="0" applyNumberFormat="1" applyBorder="1"/>
    <xf numFmtId="189" fontId="0" fillId="0" borderId="56" xfId="0" applyNumberFormat="1" applyBorder="1"/>
    <xf numFmtId="0" fontId="0" fillId="0" borderId="0" xfId="0" applyFill="1" applyAlignment="1">
      <alignment wrapText="1"/>
    </xf>
    <xf numFmtId="0" fontId="6" fillId="0" borderId="0" xfId="0" applyFont="1" applyFill="1" applyAlignment="1" quotePrefix="1">
      <alignment horizontal="center" wrapText="1"/>
    </xf>
  </cellXfs>
  <cellStyles count="50">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 name="Обычный 6"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5386B"/>
      <rgbColor rgb="00808000"/>
      <rgbColor rgb="00800080"/>
      <rgbColor rgb="00008080"/>
      <rgbColor rgb="00C0C0C0"/>
      <rgbColor rgb="00808080"/>
      <rgbColor rgb="009999FF"/>
      <rgbColor rgb="00993366"/>
      <rgbColor rgb="00FFFFCC"/>
      <rgbColor rgb="00CCFFFF"/>
      <rgbColor rgb="00660066"/>
      <rgbColor rgb="00EFEFEB"/>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CFCFCF"/>
      <rgbColor rgb="00003366"/>
      <rgbColor rgb="00339966"/>
      <rgbColor rgb="00003300"/>
      <rgbColor rgb="00333300"/>
      <rgbColor rgb="00993300"/>
      <rgbColor rgb="00993366"/>
      <rgbColor rgb="00333399"/>
      <rgbColor rgb="00333333"/>
    </indexedColors>
    <mruColors>
      <color rgb="00EFEFEB"/>
      <color rgb="0005386B"/>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eetMetadata" Target="metadata.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microsoft.com/office/2011/relationships/chartColorStyle" Target="colors14.xml"/><Relationship Id="rId2" Type="http://schemas.microsoft.com/office/2011/relationships/chartStyle" Target="style14.xml"/><Relationship Id="rId1" Type="http://schemas.openxmlformats.org/officeDocument/2006/relationships/themeOverride" Target="../theme/themeOverride1.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2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r>
              <a:rPr sz="1200" b="0" u="none" strike="noStrike" cap="none" normalizeH="0">
                <a:solidFill>
                  <a:schemeClr val="tx1">
                    <a:lumMod val="75000"/>
                    <a:lumOff val="25000"/>
                  </a:schemeClr>
                </a:solidFill>
                <a:uFill>
                  <a:solidFill>
                    <a:schemeClr val="tx1">
                      <a:lumMod val="75000"/>
                      <a:lumOff val="25000"/>
                    </a:schemeClr>
                  </a:solidFill>
                </a:uFill>
              </a:rPr>
              <a:t>Инвестиции, тыс. руб.</a:t>
            </a:r>
            <a:endParaRPr sz="1200" b="0" u="none" strike="noStrike" cap="none" normalizeH="0">
              <a:solidFill>
                <a:schemeClr val="tx1">
                  <a:lumMod val="75000"/>
                  <a:lumOff val="25000"/>
                </a:schemeClr>
              </a:solidFill>
              <a:uFill>
                <a:solidFill>
                  <a:schemeClr val="tx1">
                    <a:lumMod val="75000"/>
                    <a:lumOff val="25000"/>
                  </a:schemeClr>
                </a:solidFill>
              </a:uFill>
            </a:endParaRPr>
          </a:p>
        </c:rich>
      </c:tx>
      <c:layout>
        <c:manualLayout>
          <c:xMode val="edge"/>
          <c:yMode val="edge"/>
          <c:x val="0.354584809130264"/>
          <c:y val="0.0255941499085923"/>
        </c:manualLayout>
      </c:layout>
      <c:overlay val="0"/>
      <c:spPr>
        <a:noFill/>
        <a:ln>
          <a:noFill/>
        </a:ln>
        <a:effectLst/>
      </c:spPr>
    </c:title>
    <c:autoTitleDeleted val="0"/>
    <c:plotArea>
      <c:layout>
        <c:manualLayout>
          <c:layoutTarget val="inner"/>
          <c:xMode val="edge"/>
          <c:yMode val="edge"/>
          <c:x val="0.124783180026281"/>
          <c:y val="0.00638433709299851"/>
          <c:w val="0.835137976346912"/>
          <c:h val="0.7444988295382"/>
        </c:manualLayout>
      </c:layout>
      <c:lineChart>
        <c:grouping val="standard"/>
        <c:varyColors val="0"/>
        <c:ser>
          <c:idx val="0"/>
          <c:order val="0"/>
          <c:spPr>
            <a:ln w="28575" cap="rnd">
              <a:solidFill>
                <a:schemeClr val="accent1"/>
              </a:solidFill>
              <a:round/>
            </a:ln>
            <a:effectLst/>
          </c:spPr>
          <c:marker>
            <c:symbol val="none"/>
          </c:marker>
          <c:dLbls>
            <c:delete val="1"/>
          </c:dLbls>
          <c:cat>
            <c:strRef>
              <c:f>'Задание 1'!$B$13:$B$21</c:f>
              <c:strCache>
                <c:ptCount val="9"/>
                <c:pt idx="0">
                  <c:v>2017</c:v>
                </c:pt>
                <c:pt idx="1">
                  <c:v>2018</c:v>
                </c:pt>
                <c:pt idx="2">
                  <c:v>2019</c:v>
                </c:pt>
                <c:pt idx="3">
                  <c:v>2020</c:v>
                </c:pt>
                <c:pt idx="4">
                  <c:v>2021</c:v>
                </c:pt>
                <c:pt idx="5">
                  <c:v>2022</c:v>
                </c:pt>
                <c:pt idx="6">
                  <c:v>2023</c:v>
                </c:pt>
                <c:pt idx="7">
                  <c:v>2024</c:v>
                </c:pt>
                <c:pt idx="8">
                  <c:v>2025</c:v>
                </c:pt>
              </c:strCache>
            </c:strRef>
          </c:cat>
          <c:val>
            <c:numRef>
              <c:f>'Задание 1'!$C$13:$C$21</c:f>
              <c:numCache>
                <c:formatCode>#\ ##0</c:formatCode>
                <c:ptCount val="9"/>
                <c:pt idx="0">
                  <c:v>4671116</c:v>
                </c:pt>
                <c:pt idx="1">
                  <c:v>5962722</c:v>
                </c:pt>
                <c:pt idx="2">
                  <c:v>6580177</c:v>
                </c:pt>
                <c:pt idx="3">
                  <c:v>11006383</c:v>
                </c:pt>
                <c:pt idx="4">
                  <c:v>11694536</c:v>
                </c:pt>
                <c:pt idx="5">
                  <c:v>4530042</c:v>
                </c:pt>
                <c:pt idx="6">
                  <c:v>10268409</c:v>
                </c:pt>
                <c:pt idx="7">
                  <c:v>11094577</c:v>
                </c:pt>
                <c:pt idx="8">
                  <c:v>9458631</c:v>
                </c:pt>
              </c:numCache>
            </c:numRef>
          </c:val>
          <c:smooth val="0"/>
        </c:ser>
        <c:dLbls>
          <c:showLegendKey val="0"/>
          <c:showVal val="0"/>
          <c:showCatName val="0"/>
          <c:showSerName val="0"/>
          <c:showPercent val="0"/>
          <c:showBubbleSize val="0"/>
        </c:dLbls>
        <c:marker val="0"/>
        <c:smooth val="0"/>
        <c:axId val="722535235"/>
        <c:axId val="389462149"/>
      </c:lineChart>
      <c:catAx>
        <c:axId val="7225352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389462149"/>
        <c:crosses val="autoZero"/>
        <c:auto val="1"/>
        <c:lblAlgn val="ctr"/>
        <c:lblOffset val="100"/>
        <c:noMultiLvlLbl val="0"/>
      </c:catAx>
      <c:valAx>
        <c:axId val="389462149"/>
        <c:scaling>
          <c:orientation val="minMax"/>
        </c:scaling>
        <c:delete val="0"/>
        <c:axPos val="l"/>
        <c:majorGridlines>
          <c:spPr>
            <a:ln w="9525" cap="flat" cmpd="sng" algn="ctr">
              <a:solidFill>
                <a:schemeClr val="lt1">
                  <a:lumMod val="90200"/>
                </a:schemeClr>
              </a:solidFill>
              <a:round/>
            </a:ln>
            <a:effectLst/>
          </c:spPr>
        </c:majorGridlines>
        <c:numFmt formatCode="#\ ##0"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722535235"/>
        <c:crosses val="autoZero"/>
        <c:crossBetween val="between"/>
      </c:valAx>
      <c:spPr>
        <a:noFill/>
        <a:ln>
          <a:noFill/>
        </a:ln>
        <a:effectLst/>
      </c:spPr>
    </c:plotArea>
    <c:plotVisOnly val="1"/>
    <c:dispBlanksAs val="gap"/>
    <c:showDLblsOverMax val="0"/>
    <c:extLst>
      <c:ext uri="{0b15fc19-7d7d-44ad-8c2d-2c3a37ce22c3}">
        <chartProps xmlns="https://web.wps.cn/et/2018/main" chartId="{bc8fb10e-3cbf-4722-8ef7-2979a34ee016}"/>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2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r>
              <a:rPr sz="1200" b="0" i="0" u="none" strike="noStrike" cap="none" normalizeH="0">
                <a:solidFill>
                  <a:schemeClr val="tx1">
                    <a:lumMod val="75000"/>
                    <a:lumOff val="25000"/>
                  </a:schemeClr>
                </a:solidFill>
                <a:uFill>
                  <a:solidFill>
                    <a:schemeClr val="tx1">
                      <a:lumMod val="75000"/>
                      <a:lumOff val="25000"/>
                    </a:schemeClr>
                  </a:solidFill>
                </a:uFill>
              </a:rPr>
              <a:t>Доля инвестиций, направленных на реконструкцию и модернизацию в общем объеме инвестиций в основной капитал</a:t>
            </a:r>
            <a:endParaRPr sz="1200" b="0" i="0" u="none" strike="noStrike" cap="none" normalizeH="0">
              <a:solidFill>
                <a:schemeClr val="tx1">
                  <a:lumMod val="75000"/>
                  <a:lumOff val="25000"/>
                </a:schemeClr>
              </a:solidFill>
              <a:uFill>
                <a:solidFill>
                  <a:schemeClr val="tx1">
                    <a:lumMod val="75000"/>
                    <a:lumOff val="25000"/>
                  </a:schemeClr>
                </a:solidFill>
              </a:uFill>
            </a:endParaRPr>
          </a:p>
        </c:rich>
      </c:tx>
      <c:layout/>
      <c:overlay val="0"/>
      <c:spPr>
        <a:noFill/>
        <a:ln>
          <a:noFill/>
        </a:ln>
        <a:effectLst/>
      </c:spPr>
    </c:title>
    <c:autoTitleDeleted val="0"/>
    <c:plotArea>
      <c:layout/>
      <c:lineChart>
        <c:grouping val="standard"/>
        <c:varyColors val="0"/>
        <c:ser>
          <c:idx val="0"/>
          <c:order val="0"/>
          <c:tx>
            <c:strRef>
              <c:f>'Задание 1'!$C$40</c:f>
              <c:strCache>
                <c:ptCount val="1"/>
                <c:pt idx="0">
                  <c:v>Всего по обследуемым видам экономической деятельности</c:v>
                </c:pt>
              </c:strCache>
            </c:strRef>
          </c:tx>
          <c:spPr>
            <a:ln w="28575" cap="rnd">
              <a:solidFill>
                <a:schemeClr val="accent1"/>
              </a:solidFill>
              <a:round/>
            </a:ln>
            <a:effectLst/>
          </c:spPr>
          <c:marker>
            <c:symbol val="none"/>
          </c:marker>
          <c:dLbls>
            <c:delete val="1"/>
          </c:dLbls>
          <c:cat>
            <c:strRef>
              <c:f>'Задание 1'!$B$41:$B$46</c:f>
              <c:strCache>
                <c:ptCount val="6"/>
                <c:pt idx="0">
                  <c:v>2019</c:v>
                </c:pt>
                <c:pt idx="1">
                  <c:v>2020</c:v>
                </c:pt>
                <c:pt idx="2">
                  <c:v>2021</c:v>
                </c:pt>
                <c:pt idx="3">
                  <c:v>2022</c:v>
                </c:pt>
                <c:pt idx="4">
                  <c:v>2023</c:v>
                </c:pt>
                <c:pt idx="5">
                  <c:v>2024</c:v>
                </c:pt>
              </c:strCache>
            </c:strRef>
          </c:cat>
          <c:val>
            <c:numRef>
              <c:f>'Задание 1'!$C$41:$C$46</c:f>
              <c:numCache>
                <c:formatCode>#\ ##0.####</c:formatCode>
                <c:ptCount val="6"/>
                <c:pt idx="0">
                  <c:v>14.4</c:v>
                </c:pt>
                <c:pt idx="1">
                  <c:v>17.7</c:v>
                </c:pt>
                <c:pt idx="2" c:formatCode="#\ ##0">
                  <c:v>14</c:v>
                </c:pt>
                <c:pt idx="3" c:formatCode="#\ ##0">
                  <c:v>12</c:v>
                </c:pt>
                <c:pt idx="4" c:formatCode="#\ ##0">
                  <c:v>15</c:v>
                </c:pt>
                <c:pt idx="5" c:formatCode="#\ ##0">
                  <c:v>17</c:v>
                </c:pt>
              </c:numCache>
            </c:numRef>
          </c:val>
          <c:smooth val="0"/>
        </c:ser>
        <c:ser>
          <c:idx val="1"/>
          <c:order val="1"/>
          <c:tx>
            <c:strRef>
              <c:f>'Задание 1'!$D$40</c:f>
              <c:strCache>
                <c:ptCount val="1"/>
                <c:pt idx="0">
                  <c:v>Сельское, лесное хозяйство, охота, рыболовство и рыбоводство</c:v>
                </c:pt>
              </c:strCache>
            </c:strRef>
          </c:tx>
          <c:spPr>
            <a:ln w="28575" cap="rnd">
              <a:solidFill>
                <a:schemeClr val="accent2"/>
              </a:solidFill>
              <a:round/>
            </a:ln>
            <a:effectLst/>
          </c:spPr>
          <c:marker>
            <c:symbol val="none"/>
          </c:marker>
          <c:dLbls>
            <c:delete val="1"/>
          </c:dLbls>
          <c:cat>
            <c:strRef>
              <c:f>'Задание 1'!$B$41:$B$46</c:f>
              <c:strCache>
                <c:ptCount val="6"/>
                <c:pt idx="0">
                  <c:v>2019</c:v>
                </c:pt>
                <c:pt idx="1">
                  <c:v>2020</c:v>
                </c:pt>
                <c:pt idx="2">
                  <c:v>2021</c:v>
                </c:pt>
                <c:pt idx="3">
                  <c:v>2022</c:v>
                </c:pt>
                <c:pt idx="4">
                  <c:v>2023</c:v>
                </c:pt>
                <c:pt idx="5">
                  <c:v>2024</c:v>
                </c:pt>
              </c:strCache>
            </c:strRef>
          </c:cat>
          <c:val>
            <c:numRef>
              <c:f>'Задание 1'!$D$41:$D$46</c:f>
              <c:numCache>
                <c:formatCode>#\ ##0</c:formatCode>
                <c:ptCount val="6"/>
                <c:pt idx="0">
                  <c:v>10</c:v>
                </c:pt>
                <c:pt idx="1" c:formatCode="#\ ##0.####">
                  <c:v>8.2</c:v>
                </c:pt>
                <c:pt idx="2">
                  <c:v>2</c:v>
                </c:pt>
                <c:pt idx="3">
                  <c:v>23</c:v>
                </c:pt>
                <c:pt idx="4">
                  <c:v>3</c:v>
                </c:pt>
                <c:pt idx="5">
                  <c:v>5</c:v>
                </c:pt>
              </c:numCache>
            </c:numRef>
          </c:val>
          <c:smooth val="0"/>
        </c:ser>
        <c:dLbls>
          <c:showLegendKey val="0"/>
          <c:showVal val="0"/>
          <c:showCatName val="0"/>
          <c:showSerName val="0"/>
          <c:showPercent val="0"/>
          <c:showBubbleSize val="0"/>
        </c:dLbls>
        <c:marker val="0"/>
        <c:smooth val="0"/>
        <c:axId val="291364346"/>
        <c:axId val="34114491"/>
      </c:lineChart>
      <c:catAx>
        <c:axId val="2913643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34114491"/>
        <c:crosses val="autoZero"/>
        <c:auto val="1"/>
        <c:lblAlgn val="ctr"/>
        <c:lblOffset val="100"/>
        <c:noMultiLvlLbl val="0"/>
      </c:catAx>
      <c:valAx>
        <c:axId val="34114491"/>
        <c:scaling>
          <c:orientation val="minMax"/>
        </c:scaling>
        <c:delete val="0"/>
        <c:axPos val="l"/>
        <c:majorGridlines>
          <c:spPr>
            <a:ln w="9525" cap="flat" cmpd="sng" algn="ctr">
              <a:solidFill>
                <a:schemeClr val="lt1">
                  <a:lumMod val="90200"/>
                </a:schemeClr>
              </a:solidFill>
              <a:round/>
            </a:ln>
            <a:effectLst/>
          </c:spPr>
        </c:majorGridlines>
        <c:numFmt formatCode="#\ ##0.####"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291364346"/>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8bb6bc5-6f40-47c9-9987-b47aa702314a}"/>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2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r>
              <a:rPr sz="1200" b="0" u="none" strike="noStrike" cap="none" normalizeH="0">
                <a:solidFill>
                  <a:schemeClr val="tx1">
                    <a:lumMod val="75000"/>
                    <a:lumOff val="25000"/>
                  </a:schemeClr>
                </a:solidFill>
                <a:uFill>
                  <a:solidFill>
                    <a:schemeClr val="tx1">
                      <a:lumMod val="75000"/>
                      <a:lumOff val="25000"/>
                    </a:schemeClr>
                  </a:solidFill>
                </a:uFill>
              </a:rPr>
              <a:t>Анализ структуры инвестиций по направлениям вложений</a:t>
            </a:r>
            <a:endParaRPr sz="1200" b="0" u="none" strike="noStrike" cap="none" normalizeH="0">
              <a:solidFill>
                <a:schemeClr val="tx1">
                  <a:lumMod val="75000"/>
                  <a:lumOff val="25000"/>
                </a:schemeClr>
              </a:solidFill>
              <a:uFill>
                <a:solidFill>
                  <a:schemeClr val="tx1">
                    <a:lumMod val="75000"/>
                    <a:lumOff val="25000"/>
                  </a:schemeClr>
                </a:solidFill>
              </a:uFill>
            </a:endParaRPr>
          </a:p>
        </c:rich>
      </c:tx>
      <c:layout/>
      <c:overlay val="0"/>
      <c:spPr>
        <a:noFill/>
        <a:ln>
          <a:noFill/>
        </a:ln>
        <a:effectLst/>
      </c:spPr>
    </c:title>
    <c:autoTitleDeleted val="0"/>
    <c:plotArea>
      <c:layout/>
      <c:barChart>
        <c:barDir val="col"/>
        <c:grouping val="clustered"/>
        <c:varyColors val="0"/>
        <c:ser>
          <c:idx val="0"/>
          <c:order val="0"/>
          <c:tx>
            <c:strRef>
              <c:f>'Задание 1'!$C$66</c:f>
              <c:strCache>
                <c:ptCount val="1"/>
                <c:pt idx="0">
                  <c:v>Доля инвестиций в модернизацию и реконструкцию </c:v>
                </c:pt>
              </c:strCache>
            </c:strRef>
          </c:tx>
          <c:spPr>
            <a:solidFill>
              <a:schemeClr val="accent1"/>
            </a:solidFill>
            <a:ln>
              <a:noFill/>
            </a:ln>
            <a:effectLst/>
          </c:spPr>
          <c:invertIfNegative val="0"/>
          <c:dLbls>
            <c:delete val="1"/>
          </c:dLbls>
          <c:val>
            <c:numRef>
              <c:f>'Задание 1'!$C$67:$C$72</c:f>
              <c:numCache>
                <c:formatCode>#\ ##0</c:formatCode>
                <c:ptCount val="6"/>
                <c:pt idx="0">
                  <c:v>10</c:v>
                </c:pt>
                <c:pt idx="1" c:formatCode="#\ ##0.####">
                  <c:v>8.2</c:v>
                </c:pt>
                <c:pt idx="2">
                  <c:v>2</c:v>
                </c:pt>
                <c:pt idx="3">
                  <c:v>23</c:v>
                </c:pt>
                <c:pt idx="4">
                  <c:v>3</c:v>
                </c:pt>
                <c:pt idx="5">
                  <c:v>5</c:v>
                </c:pt>
              </c:numCache>
            </c:numRef>
          </c:val>
        </c:ser>
        <c:ser>
          <c:idx val="1"/>
          <c:order val="1"/>
          <c:tx>
            <c:strRef>
              <c:f>'Задание 1'!$D$66</c:f>
              <c:strCache>
                <c:ptCount val="1"/>
                <c:pt idx="0">
                  <c:v>Остальное</c:v>
                </c:pt>
              </c:strCache>
            </c:strRef>
          </c:tx>
          <c:spPr>
            <a:solidFill>
              <a:schemeClr val="accent2"/>
            </a:solidFill>
            <a:ln>
              <a:noFill/>
            </a:ln>
            <a:effectLst/>
          </c:spPr>
          <c:invertIfNegative val="0"/>
          <c:dLbls>
            <c:delete val="1"/>
          </c:dLbls>
          <c:val>
            <c:numRef>
              <c:f>'Задание 1'!$D$67:$D$72</c:f>
              <c:numCache>
                <c:formatCode>#\ </c:formatCode>
                <c:ptCount val="6"/>
                <c:pt idx="0">
                  <c:v>90</c:v>
                </c:pt>
                <c:pt idx="1" c:formatCode="#.0\ ">
                  <c:v>91.8</c:v>
                </c:pt>
                <c:pt idx="2">
                  <c:v>98</c:v>
                </c:pt>
                <c:pt idx="3">
                  <c:v>77</c:v>
                </c:pt>
                <c:pt idx="4">
                  <c:v>97</c:v>
                </c:pt>
                <c:pt idx="5">
                  <c:v>95</c:v>
                </c:pt>
              </c:numCache>
            </c:numRef>
          </c:val>
        </c:ser>
        <c:dLbls>
          <c:showLegendKey val="0"/>
          <c:showVal val="0"/>
          <c:showCatName val="0"/>
          <c:showSerName val="0"/>
          <c:showPercent val="0"/>
          <c:showBubbleSize val="0"/>
        </c:dLbls>
        <c:gapWidth val="246"/>
        <c:overlap val="-28"/>
        <c:axId val="883805622"/>
        <c:axId val="369525221"/>
      </c:barChart>
      <c:catAx>
        <c:axId val="88380562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369525221"/>
        <c:crosses val="autoZero"/>
        <c:auto val="1"/>
        <c:lblAlgn val="ctr"/>
        <c:lblOffset val="100"/>
        <c:noMultiLvlLbl val="0"/>
      </c:catAx>
      <c:valAx>
        <c:axId val="369525221"/>
        <c:scaling>
          <c:orientation val="minMax"/>
        </c:scaling>
        <c:delete val="0"/>
        <c:axPos val="l"/>
        <c:majorGridlines>
          <c:spPr>
            <a:ln w="9525" cap="flat" cmpd="sng" algn="ctr">
              <a:solidFill>
                <a:schemeClr val="lt1">
                  <a:lumMod val="90200"/>
                </a:schemeClr>
              </a:solidFill>
              <a:round/>
            </a:ln>
            <a:effectLst/>
          </c:spPr>
        </c:majorGridlines>
        <c:numFmt formatCode="#\ ##0"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883805622"/>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a557798-5c04-4924-b2ad-08c189a321c2}"/>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стоимости ОФ на конец года</a:t>
            </a:r>
          </a:p>
        </c:rich>
      </c:tx>
      <c:layout/>
      <c:overlay val="0"/>
      <c:spPr>
        <a:noFill/>
        <a:ln>
          <a:noFill/>
        </a:ln>
        <a:effectLst/>
      </c:spPr>
    </c:title>
    <c:autoTitleDeleted val="0"/>
    <c:plotArea>
      <c:layout/>
      <c:lineChart>
        <c:grouping val="standard"/>
        <c:varyColors val="0"/>
        <c:ser>
          <c:idx val="1"/>
          <c:order val="0"/>
          <c:tx>
            <c:strRef>
              <c:f>'Задание 2'!$C$8</c:f>
              <c:strCache>
                <c:ptCount val="1"/>
                <c:pt idx="0">
                  <c:v>Стоимость ОФ на конец года, тыс. руб.</c:v>
                </c:pt>
              </c:strCache>
            </c:strRef>
          </c:tx>
          <c:spPr>
            <a:ln w="28575" cap="rnd">
              <a:solidFill>
                <a:schemeClr val="accent2"/>
              </a:solidFill>
              <a:round/>
            </a:ln>
            <a:effectLst/>
          </c:spPr>
          <c:marker>
            <c:symbol val="none"/>
          </c:marker>
          <c:dLbls>
            <c:delete val="1"/>
          </c:dLbls>
          <c:cat>
            <c:numRef>
              <c:f>'Задание 2'!$B$9:$B$16</c:f>
              <c:numCache>
                <c:formatCode>General</c:formatCode>
                <c:ptCount val="8"/>
                <c:pt idx="0">
                  <c:v>2017</c:v>
                </c:pt>
                <c:pt idx="1">
                  <c:v>2018</c:v>
                </c:pt>
                <c:pt idx="2">
                  <c:v>2019</c:v>
                </c:pt>
                <c:pt idx="3">
                  <c:v>2020</c:v>
                </c:pt>
                <c:pt idx="4">
                  <c:v>2021</c:v>
                </c:pt>
                <c:pt idx="5">
                  <c:v>2022</c:v>
                </c:pt>
                <c:pt idx="6">
                  <c:v>2023</c:v>
                </c:pt>
                <c:pt idx="7">
                  <c:v>2024</c:v>
                </c:pt>
              </c:numCache>
            </c:numRef>
          </c:cat>
          <c:val>
            <c:numRef>
              <c:f>'Задание 2'!$C$9:$C$16</c:f>
              <c:numCache>
                <c:formatCode>#\ ##0</c:formatCode>
                <c:ptCount val="8"/>
                <c:pt idx="0">
                  <c:v>12554577</c:v>
                </c:pt>
                <c:pt idx="1">
                  <c:v>12031950</c:v>
                </c:pt>
                <c:pt idx="2">
                  <c:v>12680323</c:v>
                </c:pt>
                <c:pt idx="3">
                  <c:v>16974601</c:v>
                </c:pt>
                <c:pt idx="4">
                  <c:v>21264557</c:v>
                </c:pt>
                <c:pt idx="5">
                  <c:v>36462493</c:v>
                </c:pt>
                <c:pt idx="6">
                  <c:v>41977370</c:v>
                </c:pt>
                <c:pt idx="7">
                  <c:v>50984615</c:v>
                </c:pt>
              </c:numCache>
            </c:numRef>
          </c:val>
          <c:smooth val="0"/>
        </c:ser>
        <c:dLbls>
          <c:showLegendKey val="0"/>
          <c:showVal val="0"/>
          <c:showCatName val="0"/>
          <c:showSerName val="0"/>
          <c:showPercent val="0"/>
          <c:showBubbleSize val="0"/>
        </c:dLbls>
        <c:marker val="0"/>
        <c:smooth val="0"/>
        <c:axId val="935461849"/>
        <c:axId val="532638952"/>
      </c:lineChart>
      <c:catAx>
        <c:axId val="93546184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532638952"/>
        <c:crosses val="autoZero"/>
        <c:auto val="1"/>
        <c:lblAlgn val="ctr"/>
        <c:lblOffset val="100"/>
        <c:noMultiLvlLbl val="0"/>
      </c:catAx>
      <c:valAx>
        <c:axId val="532638952"/>
        <c:scaling>
          <c:orientation val="minMax"/>
        </c:scaling>
        <c:delete val="0"/>
        <c:axPos val="l"/>
        <c:majorGridlines>
          <c:spPr>
            <a:ln w="9525" cap="flat" cmpd="sng" algn="ctr">
              <a:solidFill>
                <a:schemeClr val="lt1">
                  <a:lumMod val="90200"/>
                </a:schemeClr>
              </a:solidFill>
              <a:round/>
            </a:ln>
            <a:effectLst/>
          </c:spPr>
        </c:majorGridlines>
        <c:numFmt formatCode="#\ ##0"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935461849"/>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687a02e-b44a-44d5-aed1-ff657c228368}"/>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коэффициента обновления, %</a:t>
            </a:r>
          </a:p>
        </c:rich>
      </c:tx>
      <c:layout/>
      <c:overlay val="0"/>
      <c:spPr>
        <a:noFill/>
        <a:ln>
          <a:noFill/>
        </a:ln>
        <a:effectLst/>
      </c:spPr>
    </c:title>
    <c:autoTitleDeleted val="0"/>
    <c:plotArea>
      <c:layout/>
      <c:lineChart>
        <c:grouping val="standard"/>
        <c:varyColors val="0"/>
        <c:ser>
          <c:idx val="0"/>
          <c:order val="0"/>
          <c:tx>
            <c:strRef>
              <c:f>'Задание 2'!$G$8</c:f>
              <c:strCache>
                <c:ptCount val="1"/>
                <c:pt idx="0">
                  <c:v>Коэффициент обновления, %</c:v>
                </c:pt>
              </c:strCache>
            </c:strRef>
          </c:tx>
          <c:spPr>
            <a:ln w="28575" cap="rnd">
              <a:solidFill>
                <a:schemeClr val="accent1"/>
              </a:solidFill>
              <a:round/>
            </a:ln>
            <a:effectLst/>
          </c:spPr>
          <c:marker>
            <c:symbol val="none"/>
          </c:marker>
          <c:dLbls>
            <c:delete val="1"/>
          </c:dLbls>
          <c:cat>
            <c:numRef>
              <c:f>'Задание 2'!$B$9:$B$16</c:f>
              <c:numCache>
                <c:formatCode>General</c:formatCode>
                <c:ptCount val="8"/>
                <c:pt idx="0">
                  <c:v>2017</c:v>
                </c:pt>
                <c:pt idx="1">
                  <c:v>2018</c:v>
                </c:pt>
                <c:pt idx="2">
                  <c:v>2019</c:v>
                </c:pt>
                <c:pt idx="3">
                  <c:v>2020</c:v>
                </c:pt>
                <c:pt idx="4">
                  <c:v>2021</c:v>
                </c:pt>
                <c:pt idx="5">
                  <c:v>2022</c:v>
                </c:pt>
                <c:pt idx="6">
                  <c:v>2023</c:v>
                </c:pt>
                <c:pt idx="7">
                  <c:v>2024</c:v>
                </c:pt>
              </c:numCache>
            </c:numRef>
          </c:cat>
          <c:val>
            <c:numRef>
              <c:f>'Задание 2'!$G$9:$G$16</c:f>
              <c:numCache>
                <c:formatCode>#.\ #0</c:formatCode>
                <c:ptCount val="8"/>
                <c:pt idx="0">
                  <c:v>55.8760362854121</c:v>
                </c:pt>
                <c:pt idx="1">
                  <c:v>38.9047494379548</c:v>
                </c:pt>
                <c:pt idx="2">
                  <c:v>44.5099072003134</c:v>
                </c:pt>
                <c:pt idx="3">
                  <c:v>44.9495101534345</c:v>
                </c:pt>
                <c:pt idx="4">
                  <c:v>42.5684861433981</c:v>
                </c:pt>
                <c:pt idx="5">
                  <c:v>12.2564301897843</c:v>
                </c:pt>
                <c:pt idx="6">
                  <c:v>22.7837046484808</c:v>
                </c:pt>
                <c:pt idx="7">
                  <c:v>27.7770068480462</c:v>
                </c:pt>
              </c:numCache>
            </c:numRef>
          </c:val>
          <c:smooth val="0"/>
        </c:ser>
        <c:dLbls>
          <c:showLegendKey val="0"/>
          <c:showVal val="0"/>
          <c:showCatName val="0"/>
          <c:showSerName val="0"/>
          <c:showPercent val="0"/>
          <c:showBubbleSize val="0"/>
        </c:dLbls>
        <c:marker val="0"/>
        <c:smooth val="0"/>
        <c:axId val="339761016"/>
        <c:axId val="919354678"/>
      </c:lineChart>
      <c:catAx>
        <c:axId val="3397610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919354678"/>
        <c:crosses val="autoZero"/>
        <c:auto val="1"/>
        <c:lblAlgn val="ctr"/>
        <c:lblOffset val="100"/>
        <c:noMultiLvlLbl val="0"/>
      </c:catAx>
      <c:valAx>
        <c:axId val="919354678"/>
        <c:scaling>
          <c:orientation val="minMax"/>
        </c:scaling>
        <c:delete val="0"/>
        <c:axPos val="l"/>
        <c:majorGridlines>
          <c:spPr>
            <a:ln w="9525" cap="flat" cmpd="sng" algn="ctr">
              <a:solidFill>
                <a:schemeClr val="lt1">
                  <a:lumMod val="90200"/>
                </a:schemeClr>
              </a:solidFill>
              <a:round/>
            </a:ln>
            <a:effectLst/>
          </c:spPr>
        </c:majorGridlines>
        <c:numFmt formatCode="#.\ #0"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339761016"/>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90a7a35-fc4a-40fe-bf79-4af7551b8db9}"/>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фондовооруженности</a:t>
            </a:r>
          </a:p>
        </c:rich>
      </c:tx>
      <c:layout/>
      <c:overlay val="0"/>
      <c:spPr>
        <a:noFill/>
        <a:ln>
          <a:noFill/>
        </a:ln>
        <a:effectLst/>
      </c:spPr>
    </c:title>
    <c:autoTitleDeleted val="0"/>
    <c:plotArea>
      <c:layout/>
      <c:lineChart>
        <c:grouping val="standard"/>
        <c:varyColors val="0"/>
        <c:ser>
          <c:idx val="0"/>
          <c:order val="0"/>
          <c:tx>
            <c:strRef>
              <c:f>'Задание 3'!$F$4</c:f>
              <c:strCache>
                <c:ptCount val="1"/>
                <c:pt idx="0">
                  <c:v>Фондовооруженность(ФВ), руб./чел.</c:v>
                </c:pt>
              </c:strCache>
            </c:strRef>
          </c:tx>
          <c:spPr>
            <a:ln w="28575" cap="rnd">
              <a:solidFill>
                <a:schemeClr val="accent1"/>
              </a:solidFill>
              <a:round/>
            </a:ln>
            <a:effectLst/>
          </c:spPr>
          <c:marker>
            <c:symbol val="none"/>
          </c:marker>
          <c:dLbls>
            <c:delete val="1"/>
          </c:dLbls>
          <c:cat>
            <c:numRef>
              <c:f>'Задание 3'!$B$5:$B$12</c:f>
              <c:numCache>
                <c:formatCode>General</c:formatCode>
                <c:ptCount val="8"/>
                <c:pt idx="0">
                  <c:v>2017</c:v>
                </c:pt>
                <c:pt idx="1">
                  <c:v>2018</c:v>
                </c:pt>
                <c:pt idx="2">
                  <c:v>2019</c:v>
                </c:pt>
                <c:pt idx="3">
                  <c:v>2020</c:v>
                </c:pt>
                <c:pt idx="4">
                  <c:v>2021</c:v>
                </c:pt>
                <c:pt idx="5">
                  <c:v>2022</c:v>
                </c:pt>
                <c:pt idx="6">
                  <c:v>2023</c:v>
                </c:pt>
                <c:pt idx="7">
                  <c:v>2024</c:v>
                </c:pt>
              </c:numCache>
            </c:numRef>
          </c:cat>
          <c:val>
            <c:numRef>
              <c:f>'Задание 3'!$F$5:$F$12</c:f>
              <c:numCache>
                <c:formatCode>0.00_ </c:formatCode>
                <c:ptCount val="8"/>
                <c:pt idx="0">
                  <c:v>485.726660734321</c:v>
                </c:pt>
                <c:pt idx="1">
                  <c:v>488.4484228474</c:v>
                </c:pt>
                <c:pt idx="2">
                  <c:v>529.074268786248</c:v>
                </c:pt>
                <c:pt idx="3">
                  <c:v>755.803953871499</c:v>
                </c:pt>
                <c:pt idx="4">
                  <c:v>943.079519247827</c:v>
                </c:pt>
                <c:pt idx="5">
                  <c:v>1620.48322296787</c:v>
                </c:pt>
                <c:pt idx="6">
                  <c:v>1919.9309366996</c:v>
                </c:pt>
                <c:pt idx="7">
                  <c:v>2544.77738956826</c:v>
                </c:pt>
              </c:numCache>
            </c:numRef>
          </c:val>
          <c:smooth val="0"/>
        </c:ser>
        <c:dLbls>
          <c:showLegendKey val="0"/>
          <c:showVal val="0"/>
          <c:showCatName val="0"/>
          <c:showSerName val="0"/>
          <c:showPercent val="0"/>
          <c:showBubbleSize val="0"/>
        </c:dLbls>
        <c:marker val="0"/>
        <c:smooth val="0"/>
        <c:axId val="941815705"/>
        <c:axId val="31775145"/>
      </c:lineChart>
      <c:catAx>
        <c:axId val="94181570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31775145"/>
        <c:crosses val="autoZero"/>
        <c:auto val="1"/>
        <c:lblAlgn val="ctr"/>
        <c:lblOffset val="100"/>
        <c:noMultiLvlLbl val="0"/>
      </c:catAx>
      <c:valAx>
        <c:axId val="31775145"/>
        <c:scaling>
          <c:orientation val="minMax"/>
        </c:scaling>
        <c:delete val="0"/>
        <c:axPos val="l"/>
        <c:majorGridlines>
          <c:spPr>
            <a:ln w="9525" cap="flat" cmpd="sng" algn="ctr">
              <a:solidFill>
                <a:schemeClr val="lt1">
                  <a:lumMod val="90200"/>
                </a:schemeClr>
              </a:solidFill>
              <a:round/>
            </a:ln>
            <a:effectLst/>
          </c:spPr>
        </c:majorGridlines>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94181570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2e0a9e4-5191-4286-be34-e7ede84b3156}"/>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фондоемкости</a:t>
            </a:r>
          </a:p>
        </c:rich>
      </c:tx>
      <c:layout/>
      <c:overlay val="0"/>
      <c:spPr>
        <a:noFill/>
        <a:ln>
          <a:noFill/>
        </a:ln>
        <a:effectLst/>
      </c:spPr>
    </c:title>
    <c:autoTitleDeleted val="0"/>
    <c:plotArea>
      <c:layout/>
      <c:lineChart>
        <c:grouping val="standard"/>
        <c:varyColors val="0"/>
        <c:ser>
          <c:idx val="0"/>
          <c:order val="0"/>
          <c:tx>
            <c:strRef>
              <c:f>'Задание 3'!$G$4</c:f>
              <c:strCache>
                <c:ptCount val="1"/>
                <c:pt idx="0">
                  <c:v>Фондоемкость(ФЕ), руб./руб.</c:v>
                </c:pt>
              </c:strCache>
            </c:strRef>
          </c:tx>
          <c:spPr>
            <a:ln w="28575" cap="rnd">
              <a:solidFill>
                <a:schemeClr val="accent1"/>
              </a:solidFill>
              <a:round/>
            </a:ln>
            <a:effectLst/>
          </c:spPr>
          <c:marker>
            <c:symbol val="none"/>
          </c:marker>
          <c:dLbls>
            <c:delete val="1"/>
          </c:dLbls>
          <c:cat>
            <c:numRef>
              <c:f>'Задание 3'!$B$5:$B$12</c:f>
              <c:numCache>
                <c:formatCode>General</c:formatCode>
                <c:ptCount val="8"/>
                <c:pt idx="0">
                  <c:v>2017</c:v>
                </c:pt>
                <c:pt idx="1">
                  <c:v>2018</c:v>
                </c:pt>
                <c:pt idx="2">
                  <c:v>2019</c:v>
                </c:pt>
                <c:pt idx="3">
                  <c:v>2020</c:v>
                </c:pt>
                <c:pt idx="4">
                  <c:v>2021</c:v>
                </c:pt>
                <c:pt idx="5">
                  <c:v>2022</c:v>
                </c:pt>
                <c:pt idx="6">
                  <c:v>2023</c:v>
                </c:pt>
                <c:pt idx="7">
                  <c:v>2024</c:v>
                </c:pt>
              </c:numCache>
            </c:numRef>
          </c:cat>
          <c:val>
            <c:numRef>
              <c:f>'Задание 3'!$G$5:$G$12</c:f>
              <c:numCache>
                <c:formatCode>0.00_ </c:formatCode>
                <c:ptCount val="8"/>
                <c:pt idx="0">
                  <c:v>0.44124996355743</c:v>
                </c:pt>
                <c:pt idx="1">
                  <c:v>0.348317254892432</c:v>
                </c:pt>
                <c:pt idx="2">
                  <c:v>0.411991685998619</c:v>
                </c:pt>
                <c:pt idx="3">
                  <c:v>0.532164797996984</c:v>
                </c:pt>
                <c:pt idx="4">
                  <c:v>0.523298077508249</c:v>
                </c:pt>
                <c:pt idx="5">
                  <c:v>0.872384501043031</c:v>
                </c:pt>
                <c:pt idx="6">
                  <c:v>1.03502351921474</c:v>
                </c:pt>
                <c:pt idx="7">
                  <c:v>1.12930202977054</c:v>
                </c:pt>
              </c:numCache>
            </c:numRef>
          </c:val>
          <c:smooth val="0"/>
        </c:ser>
        <c:dLbls>
          <c:showLegendKey val="0"/>
          <c:showVal val="0"/>
          <c:showCatName val="0"/>
          <c:showSerName val="0"/>
          <c:showPercent val="0"/>
          <c:showBubbleSize val="0"/>
        </c:dLbls>
        <c:marker val="0"/>
        <c:smooth val="0"/>
        <c:axId val="580466158"/>
        <c:axId val="606334766"/>
      </c:lineChart>
      <c:catAx>
        <c:axId val="58046615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606334766"/>
        <c:crosses val="autoZero"/>
        <c:auto val="1"/>
        <c:lblAlgn val="ctr"/>
        <c:lblOffset val="100"/>
        <c:noMultiLvlLbl val="0"/>
      </c:catAx>
      <c:valAx>
        <c:axId val="606334766"/>
        <c:scaling>
          <c:orientation val="minMax"/>
        </c:scaling>
        <c:delete val="0"/>
        <c:axPos val="l"/>
        <c:majorGridlines>
          <c:spPr>
            <a:ln w="9525" cap="flat" cmpd="sng" algn="ctr">
              <a:solidFill>
                <a:schemeClr val="lt1">
                  <a:lumMod val="90200"/>
                </a:schemeClr>
              </a:solidFill>
              <a:round/>
            </a:ln>
            <a:effectLst/>
          </c:spPr>
        </c:majorGridlines>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580466158"/>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aef7046-9131-4b9c-b4e4-f1b3c45e1169}"/>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фондоотдачи</a:t>
            </a:r>
          </a:p>
        </c:rich>
      </c:tx>
      <c:layout/>
      <c:overlay val="0"/>
      <c:spPr>
        <a:noFill/>
        <a:ln>
          <a:noFill/>
        </a:ln>
        <a:effectLst/>
      </c:spPr>
    </c:title>
    <c:autoTitleDeleted val="0"/>
    <c:plotArea>
      <c:layout/>
      <c:lineChart>
        <c:grouping val="standard"/>
        <c:varyColors val="0"/>
        <c:ser>
          <c:idx val="0"/>
          <c:order val="0"/>
          <c:tx>
            <c:strRef>
              <c:f>'Задание 3'!$H$4</c:f>
              <c:strCache>
                <c:ptCount val="1"/>
                <c:pt idx="0">
                  <c:v>Фондоотдача(ФО), руб./руб.</c:v>
                </c:pt>
              </c:strCache>
            </c:strRef>
          </c:tx>
          <c:spPr>
            <a:ln w="28575" cap="rnd">
              <a:solidFill>
                <a:schemeClr val="accent1"/>
              </a:solidFill>
              <a:round/>
            </a:ln>
            <a:effectLst/>
          </c:spPr>
          <c:marker>
            <c:symbol val="none"/>
          </c:marker>
          <c:dLbls>
            <c:delete val="1"/>
          </c:dLbls>
          <c:cat>
            <c:numRef>
              <c:f>'Задание 3'!$B$16:$B$23</c:f>
              <c:numCache>
                <c:formatCode>General</c:formatCode>
                <c:ptCount val="8"/>
                <c:pt idx="0">
                  <c:v>2017</c:v>
                </c:pt>
                <c:pt idx="1">
                  <c:v>2018</c:v>
                </c:pt>
                <c:pt idx="2">
                  <c:v>2019</c:v>
                </c:pt>
                <c:pt idx="3">
                  <c:v>2020</c:v>
                </c:pt>
                <c:pt idx="4">
                  <c:v>2021</c:v>
                </c:pt>
                <c:pt idx="5">
                  <c:v>2022</c:v>
                </c:pt>
                <c:pt idx="6">
                  <c:v>2023</c:v>
                </c:pt>
                <c:pt idx="7">
                  <c:v>2024</c:v>
                </c:pt>
              </c:numCache>
            </c:numRef>
          </c:cat>
          <c:val>
            <c:numRef>
              <c:f>'Задание 3'!$H$5:$H$12</c:f>
              <c:numCache>
                <c:formatCode>0.00_ </c:formatCode>
                <c:ptCount val="8"/>
                <c:pt idx="0">
                  <c:v>2.26628913901281</c:v>
                </c:pt>
                <c:pt idx="1">
                  <c:v>2.87094591483509</c:v>
                </c:pt>
                <c:pt idx="2">
                  <c:v>2.42723344665589</c:v>
                </c:pt>
                <c:pt idx="3">
                  <c:v>1.87911715273897</c:v>
                </c:pt>
                <c:pt idx="4">
                  <c:v>1.9109567624663</c:v>
                </c:pt>
                <c:pt idx="5">
                  <c:v>1.14628354676681</c:v>
                </c:pt>
                <c:pt idx="6">
                  <c:v>0.966161619939505</c:v>
                </c:pt>
                <c:pt idx="7">
                  <c:v>0.885502703119366</c:v>
                </c:pt>
              </c:numCache>
            </c:numRef>
          </c:val>
          <c:smooth val="0"/>
        </c:ser>
        <c:dLbls>
          <c:showLegendKey val="0"/>
          <c:showVal val="0"/>
          <c:showCatName val="0"/>
          <c:showSerName val="0"/>
          <c:showPercent val="0"/>
          <c:showBubbleSize val="0"/>
        </c:dLbls>
        <c:marker val="0"/>
        <c:smooth val="0"/>
        <c:axId val="403819151"/>
        <c:axId val="416052731"/>
      </c:lineChart>
      <c:catAx>
        <c:axId val="4038191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416052731"/>
        <c:crosses val="autoZero"/>
        <c:auto val="1"/>
        <c:lblAlgn val="ctr"/>
        <c:lblOffset val="100"/>
        <c:noMultiLvlLbl val="0"/>
      </c:catAx>
      <c:valAx>
        <c:axId val="416052731"/>
        <c:scaling>
          <c:orientation val="minMax"/>
        </c:scaling>
        <c:delete val="0"/>
        <c:axPos val="l"/>
        <c:majorGridlines>
          <c:spPr>
            <a:ln w="9525" cap="flat" cmpd="sng" algn="ctr">
              <a:solidFill>
                <a:schemeClr val="lt1">
                  <a:lumMod val="90200"/>
                </a:schemeClr>
              </a:solidFill>
              <a:round/>
            </a:ln>
            <a:effectLst/>
          </c:spPr>
        </c:majorGridlines>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403819151"/>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af920fa-c448-4b94-bf55-fe04f313a3f9}"/>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уровня безработицы</a:t>
            </a:r>
          </a:p>
        </c:rich>
      </c:tx>
      <c:layout/>
      <c:overlay val="0"/>
      <c:spPr>
        <a:noFill/>
        <a:ln>
          <a:noFill/>
        </a:ln>
        <a:effectLst/>
      </c:spPr>
    </c:title>
    <c:autoTitleDeleted val="0"/>
    <c:plotArea>
      <c:layout/>
      <c:lineChart>
        <c:grouping val="standard"/>
        <c:varyColors val="0"/>
        <c:ser>
          <c:idx val="0"/>
          <c:order val="0"/>
          <c:tx>
            <c:strRef>
              <c:f>'Задание  4'!$G$6</c:f>
              <c:strCache>
                <c:ptCount val="1"/>
                <c:pt idx="0">
                  <c:v>Уровень безработицы, %</c:v>
                </c:pt>
              </c:strCache>
            </c:strRef>
          </c:tx>
          <c:spPr>
            <a:ln w="28575" cap="rnd">
              <a:solidFill>
                <a:schemeClr val="accent1"/>
              </a:solidFill>
              <a:round/>
            </a:ln>
            <a:effectLst/>
          </c:spPr>
          <c:marker>
            <c:symbol val="none"/>
          </c:marker>
          <c:dLbls>
            <c:delete val="1"/>
          </c:dLbls>
          <c:cat>
            <c:strRef>
              <c:f>'Задание  4'!$B$7:$B$14</c:f>
              <c:strCache>
                <c:ptCount val="8"/>
                <c:pt idx="0">
                  <c:v>2017</c:v>
                </c:pt>
                <c:pt idx="1">
                  <c:v>2018</c:v>
                </c:pt>
                <c:pt idx="2">
                  <c:v>2019</c:v>
                </c:pt>
                <c:pt idx="3">
                  <c:v>2020</c:v>
                </c:pt>
                <c:pt idx="4">
                  <c:v>2021</c:v>
                </c:pt>
                <c:pt idx="5">
                  <c:v>2022</c:v>
                </c:pt>
                <c:pt idx="6">
                  <c:v>2023</c:v>
                </c:pt>
                <c:pt idx="7">
                  <c:v>2024</c:v>
                </c:pt>
              </c:strCache>
            </c:strRef>
          </c:cat>
          <c:val>
            <c:numRef>
              <c:f>'Задание  4'!$G$7:$G$14</c:f>
              <c:numCache>
                <c:formatCode>0.00_ </c:formatCode>
                <c:ptCount val="8"/>
                <c:pt idx="0">
                  <c:v>1.5015778401122</c:v>
                </c:pt>
                <c:pt idx="1">
                  <c:v>1.5278080697928</c:v>
                </c:pt>
                <c:pt idx="2">
                  <c:v>1.58728957821071</c:v>
                </c:pt>
                <c:pt idx="3">
                  <c:v>4.37137254901961</c:v>
                </c:pt>
                <c:pt idx="4">
                  <c:v>1.71291772522963</c:v>
                </c:pt>
                <c:pt idx="5">
                  <c:v>1.414</c:v>
                </c:pt>
                <c:pt idx="6">
                  <c:v>1.06366810433354</c:v>
                </c:pt>
                <c:pt idx="7">
                  <c:v>0.83831209525799</c:v>
                </c:pt>
              </c:numCache>
            </c:numRef>
          </c:val>
          <c:smooth val="0"/>
        </c:ser>
        <c:dLbls>
          <c:showLegendKey val="0"/>
          <c:showVal val="0"/>
          <c:showCatName val="0"/>
          <c:showSerName val="0"/>
          <c:showPercent val="0"/>
          <c:showBubbleSize val="0"/>
        </c:dLbls>
        <c:marker val="0"/>
        <c:smooth val="0"/>
        <c:axId val="350497394"/>
        <c:axId val="132075327"/>
      </c:lineChart>
      <c:catAx>
        <c:axId val="35049739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132075327"/>
        <c:crosses val="autoZero"/>
        <c:auto val="1"/>
        <c:lblAlgn val="ctr"/>
        <c:lblOffset val="100"/>
        <c:noMultiLvlLbl val="0"/>
      </c:catAx>
      <c:valAx>
        <c:axId val="132075327"/>
        <c:scaling>
          <c:orientation val="minMax"/>
        </c:scaling>
        <c:delete val="0"/>
        <c:axPos val="l"/>
        <c:majorGridlines>
          <c:spPr>
            <a:ln w="9525" cap="flat" cmpd="sng" algn="ctr">
              <a:solidFill>
                <a:schemeClr val="lt1">
                  <a:lumMod val="90200"/>
                </a:schemeClr>
              </a:solidFill>
              <a:round/>
            </a:ln>
            <a:effectLst/>
          </c:spPr>
        </c:majorGridlines>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350497394"/>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21d5092-bece-4de1-b42f-0190fad95307}"/>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уровня занятости</a:t>
            </a:r>
          </a:p>
        </c:rich>
      </c:tx>
      <c:layout/>
      <c:overlay val="0"/>
      <c:spPr>
        <a:noFill/>
        <a:ln>
          <a:noFill/>
        </a:ln>
        <a:effectLst/>
      </c:spPr>
    </c:title>
    <c:autoTitleDeleted val="0"/>
    <c:plotArea>
      <c:layout/>
      <c:lineChart>
        <c:grouping val="standard"/>
        <c:varyColors val="0"/>
        <c:ser>
          <c:idx val="0"/>
          <c:order val="0"/>
          <c:tx>
            <c:strRef>
              <c:f>'Задание  4'!$H$6</c:f>
              <c:strCache>
                <c:ptCount val="1"/>
                <c:pt idx="0">
                  <c:v>Уровень занятости, %</c:v>
                </c:pt>
              </c:strCache>
            </c:strRef>
          </c:tx>
          <c:spPr>
            <a:ln w="28575" cap="rnd">
              <a:solidFill>
                <a:schemeClr val="accent1"/>
              </a:solidFill>
              <a:round/>
            </a:ln>
            <a:effectLst/>
          </c:spPr>
          <c:marker>
            <c:symbol val="none"/>
          </c:marker>
          <c:dLbls>
            <c:delete val="1"/>
          </c:dLbls>
          <c:cat>
            <c:strRef>
              <c:f>'Задание  4'!$B$7:$B$14</c:f>
              <c:strCache>
                <c:ptCount val="8"/>
                <c:pt idx="0">
                  <c:v>2017</c:v>
                </c:pt>
                <c:pt idx="1">
                  <c:v>2018</c:v>
                </c:pt>
                <c:pt idx="2">
                  <c:v>2019</c:v>
                </c:pt>
                <c:pt idx="3">
                  <c:v>2020</c:v>
                </c:pt>
                <c:pt idx="4">
                  <c:v>2021</c:v>
                </c:pt>
                <c:pt idx="5">
                  <c:v>2022</c:v>
                </c:pt>
                <c:pt idx="6">
                  <c:v>2023</c:v>
                </c:pt>
                <c:pt idx="7">
                  <c:v>2024</c:v>
                </c:pt>
              </c:strCache>
            </c:strRef>
          </c:cat>
          <c:val>
            <c:numRef>
              <c:f>'Задание  4'!$H$7:$H$14</c:f>
              <c:numCache>
                <c:formatCode>0.00_ </c:formatCode>
                <c:ptCount val="8"/>
                <c:pt idx="0">
                  <c:v>63.2038607135759</c:v>
                </c:pt>
                <c:pt idx="1">
                  <c:v>62.1628811081636</c:v>
                </c:pt>
                <c:pt idx="2">
                  <c:v>60.2996715010391</c:v>
                </c:pt>
                <c:pt idx="3">
                  <c:v>59.1507451328236</c:v>
                </c:pt>
                <c:pt idx="4">
                  <c:v>60.8644696714498</c:v>
                </c:pt>
                <c:pt idx="5">
                  <c:v>61.5112625610303</c:v>
                </c:pt>
                <c:pt idx="6">
                  <c:v>60.9390198229578</c:v>
                </c:pt>
                <c:pt idx="7">
                  <c:v>60.901941142306</c:v>
                </c:pt>
              </c:numCache>
            </c:numRef>
          </c:val>
          <c:smooth val="0"/>
        </c:ser>
        <c:dLbls>
          <c:showLegendKey val="0"/>
          <c:showVal val="0"/>
          <c:showCatName val="0"/>
          <c:showSerName val="0"/>
          <c:showPercent val="0"/>
          <c:showBubbleSize val="0"/>
        </c:dLbls>
        <c:marker val="0"/>
        <c:smooth val="0"/>
        <c:axId val="353678324"/>
        <c:axId val="810443096"/>
      </c:lineChart>
      <c:catAx>
        <c:axId val="3536783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810443096"/>
        <c:crosses val="autoZero"/>
        <c:auto val="1"/>
        <c:lblAlgn val="ctr"/>
        <c:lblOffset val="100"/>
        <c:noMultiLvlLbl val="0"/>
      </c:catAx>
      <c:valAx>
        <c:axId val="810443096"/>
        <c:scaling>
          <c:orientation val="minMax"/>
        </c:scaling>
        <c:delete val="0"/>
        <c:axPos val="l"/>
        <c:majorGridlines>
          <c:spPr>
            <a:ln w="9525" cap="flat" cmpd="sng" algn="ctr">
              <a:solidFill>
                <a:schemeClr val="lt1">
                  <a:lumMod val="90200"/>
                </a:schemeClr>
              </a:solidFill>
              <a:round/>
            </a:ln>
            <a:effectLst/>
          </c:spPr>
        </c:majorGridlines>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353678324"/>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98a18ec-51c3-467b-a612-4644236338e9}"/>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численности самозанятых</a:t>
            </a:r>
          </a:p>
        </c:rich>
      </c:tx>
      <c:layout/>
      <c:overlay val="0"/>
      <c:spPr>
        <a:noFill/>
        <a:ln>
          <a:noFill/>
        </a:ln>
        <a:effectLst/>
      </c:spPr>
    </c:title>
    <c:autoTitleDeleted val="0"/>
    <c:plotArea>
      <c:layout/>
      <c:lineChart>
        <c:grouping val="standard"/>
        <c:varyColors val="0"/>
        <c:ser>
          <c:idx val="0"/>
          <c:order val="0"/>
          <c:tx>
            <c:strRef>
              <c:f>'Задание  4'!$I$6</c:f>
              <c:strCache>
                <c:ptCount val="1"/>
                <c:pt idx="0">
                  <c:v>Численность самозанятых, чел.</c:v>
                </c:pt>
              </c:strCache>
            </c:strRef>
          </c:tx>
          <c:spPr>
            <a:ln w="28575" cap="rnd">
              <a:solidFill>
                <a:schemeClr val="accent1"/>
              </a:solidFill>
              <a:round/>
            </a:ln>
            <a:effectLst/>
          </c:spPr>
          <c:marker>
            <c:symbol val="none"/>
          </c:marker>
          <c:dLbls>
            <c:delete val="1"/>
          </c:dLbls>
          <c:cat>
            <c:strRef>
              <c:f>'Задание  4'!$B$10:$B$14</c:f>
              <c:strCache>
                <c:ptCount val="5"/>
                <c:pt idx="0">
                  <c:v>2020</c:v>
                </c:pt>
                <c:pt idx="1">
                  <c:v>2021</c:v>
                </c:pt>
                <c:pt idx="2">
                  <c:v>2022</c:v>
                </c:pt>
                <c:pt idx="3">
                  <c:v>2023</c:v>
                </c:pt>
                <c:pt idx="4">
                  <c:v>2024</c:v>
                </c:pt>
              </c:strCache>
            </c:strRef>
          </c:cat>
          <c:val>
            <c:numRef>
              <c:f>'Задание  4'!$I$10:$I$14</c:f>
              <c:numCache>
                <c:formatCode>General</c:formatCode>
                <c:ptCount val="5"/>
                <c:pt idx="0">
                  <c:v>3621</c:v>
                </c:pt>
                <c:pt idx="1">
                  <c:v>12708</c:v>
                </c:pt>
                <c:pt idx="2">
                  <c:v>22010</c:v>
                </c:pt>
                <c:pt idx="3">
                  <c:v>33710</c:v>
                </c:pt>
                <c:pt idx="4">
                  <c:v>46813</c:v>
                </c:pt>
              </c:numCache>
            </c:numRef>
          </c:val>
          <c:smooth val="0"/>
        </c:ser>
        <c:dLbls>
          <c:showLegendKey val="0"/>
          <c:showVal val="0"/>
          <c:showCatName val="0"/>
          <c:showSerName val="0"/>
          <c:showPercent val="0"/>
          <c:showBubbleSize val="0"/>
        </c:dLbls>
        <c:marker val="0"/>
        <c:smooth val="0"/>
        <c:axId val="95339549"/>
        <c:axId val="722589788"/>
      </c:lineChart>
      <c:catAx>
        <c:axId val="9533954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722589788"/>
        <c:crosses val="autoZero"/>
        <c:auto val="1"/>
        <c:lblAlgn val="ctr"/>
        <c:lblOffset val="100"/>
        <c:noMultiLvlLbl val="0"/>
      </c:catAx>
      <c:valAx>
        <c:axId val="722589788"/>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95339549"/>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56e3601-1a34-4261-ab08-2777aa151225}"/>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rPr altLang="en-US"/>
              <a:t>Динамика численности населения</a:t>
            </a:r>
            <a:endParaRPr altLang="en-US"/>
          </a:p>
        </c:rich>
      </c:tx>
      <c:layout/>
      <c:overlay val="0"/>
      <c:spPr>
        <a:noFill/>
        <a:ln>
          <a:noFill/>
        </a:ln>
        <a:effectLst/>
      </c:spPr>
    </c:title>
    <c:autoTitleDeleted val="0"/>
    <c:plotArea>
      <c:layout/>
      <c:lineChart>
        <c:grouping val="standard"/>
        <c:varyColors val="0"/>
        <c:ser>
          <c:idx val="0"/>
          <c:order val="0"/>
          <c:tx>
            <c:strRef>
              <c:f>'Задание  4'!$C$52</c:f>
              <c:strCache>
                <c:ptCount val="1"/>
                <c:pt idx="0">
                  <c:v>Численность населения Y, чел. (факт)</c:v>
                </c:pt>
              </c:strCache>
            </c:strRef>
          </c:tx>
          <c:spPr>
            <a:ln w="28575" cap="rnd">
              <a:solidFill>
                <a:schemeClr val="accent1"/>
              </a:solidFill>
              <a:round/>
            </a:ln>
            <a:effectLst/>
          </c:spPr>
          <c:marker>
            <c:symbol val="none"/>
          </c:marker>
          <c:dLbls>
            <c:delete val="1"/>
          </c:dLbls>
          <c:cat>
            <c:strRef>
              <c:f>'Задание  4'!$B$53:$B$60</c:f>
              <c:strCache>
                <c:ptCount val="8"/>
                <c:pt idx="0">
                  <c:v>2017</c:v>
                </c:pt>
                <c:pt idx="1">
                  <c:v>2018</c:v>
                </c:pt>
                <c:pt idx="2">
                  <c:v>2019</c:v>
                </c:pt>
                <c:pt idx="3">
                  <c:v>2020</c:v>
                </c:pt>
                <c:pt idx="4">
                  <c:v>2021</c:v>
                </c:pt>
                <c:pt idx="5">
                  <c:v>2022</c:v>
                </c:pt>
                <c:pt idx="6">
                  <c:v>2023</c:v>
                </c:pt>
                <c:pt idx="7">
                  <c:v>2024</c:v>
                </c:pt>
              </c:strCache>
            </c:strRef>
          </c:cat>
          <c:val>
            <c:numRef>
              <c:f>'Задание  4'!$C$53:$C$60</c:f>
              <c:numCache>
                <c:formatCode>General</c:formatCode>
                <c:ptCount val="8"/>
                <c:pt idx="0">
                  <c:v>1165750</c:v>
                </c:pt>
                <c:pt idx="1">
                  <c:v>1155028</c:v>
                </c:pt>
                <c:pt idx="2" c:formatCode="0.00_ ">
                  <c:v>1144119</c:v>
                </c:pt>
                <c:pt idx="3" c:formatCode="0.00_ ">
                  <c:v>1136535</c:v>
                </c:pt>
                <c:pt idx="4" c:formatCode="0.00_ ">
                  <c:v>1020307</c:v>
                </c:pt>
                <c:pt idx="5" c:formatCode="0.00_ ">
                  <c:v>1016030</c:v>
                </c:pt>
                <c:pt idx="6" c:formatCode="0.00_ ">
                  <c:v>1005687</c:v>
                </c:pt>
                <c:pt idx="7" c:formatCode="0.00_ ">
                  <c:v>998072</c:v>
                </c:pt>
              </c:numCache>
            </c:numRef>
          </c:val>
          <c:smooth val="0"/>
        </c:ser>
        <c:ser>
          <c:idx val="1"/>
          <c:order val="1"/>
          <c:tx>
            <c:strRef>
              <c:f>'Задание  4'!$D$52</c:f>
              <c:strCache>
                <c:ptCount val="1"/>
                <c:pt idx="0">
                  <c:v>Численность населения Y^, чел. (тренд)</c:v>
                </c:pt>
              </c:strCache>
            </c:strRef>
          </c:tx>
          <c:spPr>
            <a:ln w="28575" cap="rnd">
              <a:solidFill>
                <a:schemeClr val="accent2"/>
              </a:solidFill>
              <a:round/>
            </a:ln>
            <a:effectLst/>
          </c:spPr>
          <c:marker>
            <c:symbol val="none"/>
          </c:marker>
          <c:dLbls>
            <c:delete val="1"/>
          </c:dLbls>
          <c:cat>
            <c:strRef>
              <c:f>'Задание  4'!$B$53:$B$60</c:f>
              <c:strCache>
                <c:ptCount val="8"/>
                <c:pt idx="0">
                  <c:v>2017</c:v>
                </c:pt>
                <c:pt idx="1">
                  <c:v>2018</c:v>
                </c:pt>
                <c:pt idx="2">
                  <c:v>2019</c:v>
                </c:pt>
                <c:pt idx="3">
                  <c:v>2020</c:v>
                </c:pt>
                <c:pt idx="4">
                  <c:v>2021</c:v>
                </c:pt>
                <c:pt idx="5">
                  <c:v>2022</c:v>
                </c:pt>
                <c:pt idx="6">
                  <c:v>2023</c:v>
                </c:pt>
                <c:pt idx="7">
                  <c:v>2024</c:v>
                </c:pt>
              </c:strCache>
            </c:strRef>
          </c:cat>
          <c:val>
            <c:numRef>
              <c:f>'Задание  4'!$D$53:$D$60</c:f>
              <c:numCache>
                <c:formatCode>General</c:formatCode>
                <c:ptCount val="8"/>
                <c:pt idx="0">
                  <c:v>829856.375</c:v>
                </c:pt>
                <c:pt idx="1">
                  <c:v>819429.875</c:v>
                </c:pt>
                <c:pt idx="2">
                  <c:v>809003.375</c:v>
                </c:pt>
                <c:pt idx="3">
                  <c:v>798576.875</c:v>
                </c:pt>
                <c:pt idx="4">
                  <c:v>777723.875</c:v>
                </c:pt>
                <c:pt idx="5">
                  <c:v>767297.375</c:v>
                </c:pt>
                <c:pt idx="6">
                  <c:v>756870.875</c:v>
                </c:pt>
                <c:pt idx="7">
                  <c:v>746444.375</c:v>
                </c:pt>
              </c:numCache>
            </c:numRef>
          </c:val>
          <c:smooth val="0"/>
        </c:ser>
        <c:dLbls>
          <c:showLegendKey val="0"/>
          <c:showVal val="0"/>
          <c:showCatName val="0"/>
          <c:showSerName val="0"/>
          <c:showPercent val="0"/>
          <c:showBubbleSize val="0"/>
        </c:dLbls>
        <c:marker val="0"/>
        <c:smooth val="0"/>
        <c:axId val="403592425"/>
        <c:axId val="519257315"/>
      </c:lineChart>
      <c:catAx>
        <c:axId val="40359242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519257315"/>
        <c:crosses val="autoZero"/>
        <c:auto val="1"/>
        <c:lblAlgn val="ctr"/>
        <c:lblOffset val="100"/>
        <c:noMultiLvlLbl val="0"/>
      </c:catAx>
      <c:valAx>
        <c:axId val="51925731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40359242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15ed7ee-0db0-474d-90cf-bc231bd02188}"/>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численности занятых</a:t>
            </a:r>
          </a:p>
        </c:rich>
      </c:tx>
      <c:layout/>
      <c:overlay val="0"/>
      <c:spPr>
        <a:noFill/>
        <a:ln>
          <a:noFill/>
        </a:ln>
        <a:effectLst/>
      </c:spPr>
    </c:title>
    <c:autoTitleDeleted val="0"/>
    <c:plotArea>
      <c:layout/>
      <c:lineChart>
        <c:grouping val="standard"/>
        <c:varyColors val="0"/>
        <c:ser>
          <c:idx val="0"/>
          <c:order val="0"/>
          <c:tx>
            <c:strRef>
              <c:f>'Задание  4'!$E$52</c:f>
              <c:strCache>
                <c:ptCount val="1"/>
                <c:pt idx="0">
                  <c:v>Численность занятых Y1(факт), чел.</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'Задание  4'!$B$53:$B$60</c:f>
              <c:strCache>
                <c:ptCount val="8"/>
                <c:pt idx="0">
                  <c:v>2017</c:v>
                </c:pt>
                <c:pt idx="1">
                  <c:v>2018</c:v>
                </c:pt>
                <c:pt idx="2">
                  <c:v>2019</c:v>
                </c:pt>
                <c:pt idx="3">
                  <c:v>2020</c:v>
                </c:pt>
                <c:pt idx="4">
                  <c:v>2021</c:v>
                </c:pt>
                <c:pt idx="5">
                  <c:v>2022</c:v>
                </c:pt>
                <c:pt idx="6">
                  <c:v>2023</c:v>
                </c:pt>
                <c:pt idx="7">
                  <c:v>2024</c:v>
                </c:pt>
              </c:strCache>
            </c:strRef>
          </c:cat>
          <c:val>
            <c:numRef>
              <c:f>'Задание  4'!$E$53:$E$60</c:f>
              <c:numCache>
                <c:formatCode>#\ ##0</c:formatCode>
                <c:ptCount val="8"/>
                <c:pt idx="0">
                  <c:v>527933</c:v>
                </c:pt>
                <c:pt idx="1">
                  <c:v>509436</c:v>
                </c:pt>
                <c:pt idx="2">
                  <c:v>485703</c:v>
                </c:pt>
                <c:pt idx="3">
                  <c:v>469470</c:v>
                </c:pt>
                <c:pt idx="4">
                  <c:v>475189</c:v>
                </c:pt>
                <c:pt idx="5">
                  <c:v>470050</c:v>
                </c:pt>
                <c:pt idx="6">
                  <c:v>460479</c:v>
                </c:pt>
                <c:pt idx="7">
                  <c:v>457186</c:v>
                </c:pt>
              </c:numCache>
            </c:numRef>
          </c:val>
          <c:smooth val="0"/>
        </c:ser>
        <c:ser>
          <c:idx val="1"/>
          <c:order val="1"/>
          <c:tx>
            <c:strRef>
              <c:f>'Задание  4'!$F$52</c:f>
              <c:strCache>
                <c:ptCount val="1"/>
                <c:pt idx="0">
                  <c:v>Численность занятых Y1^(тренд), чел.</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strRef>
              <c:f>'Задание  4'!$B$53:$B$60</c:f>
              <c:strCache>
                <c:ptCount val="8"/>
                <c:pt idx="0">
                  <c:v>2017</c:v>
                </c:pt>
                <c:pt idx="1">
                  <c:v>2018</c:v>
                </c:pt>
                <c:pt idx="2">
                  <c:v>2019</c:v>
                </c:pt>
                <c:pt idx="3">
                  <c:v>2020</c:v>
                </c:pt>
                <c:pt idx="4">
                  <c:v>2021</c:v>
                </c:pt>
                <c:pt idx="5">
                  <c:v>2022</c:v>
                </c:pt>
                <c:pt idx="6">
                  <c:v>2023</c:v>
                </c:pt>
                <c:pt idx="7">
                  <c:v>2024</c:v>
                </c:pt>
              </c:strCache>
            </c:strRef>
          </c:cat>
          <c:val>
            <c:numRef>
              <c:f>'Задание  4'!$F$53:$F$60</c:f>
              <c:numCache>
                <c:formatCode>0.00_ </c:formatCode>
                <c:ptCount val="8"/>
                <c:pt idx="0">
                  <c:v>512293.816666667</c:v>
                </c:pt>
                <c:pt idx="1">
                  <c:v>504703.05</c:v>
                </c:pt>
                <c:pt idx="2">
                  <c:v>497112.283333333</c:v>
                </c:pt>
                <c:pt idx="3">
                  <c:v>489521.516666667</c:v>
                </c:pt>
                <c:pt idx="4">
                  <c:v>474339.983333333</c:v>
                </c:pt>
                <c:pt idx="5">
                  <c:v>466749.216666667</c:v>
                </c:pt>
                <c:pt idx="6">
                  <c:v>459158.45</c:v>
                </c:pt>
                <c:pt idx="7">
                  <c:v>451567.683333333</c:v>
                </c:pt>
              </c:numCache>
            </c:numRef>
          </c:val>
          <c:smooth val="0"/>
        </c:ser>
        <c:dLbls>
          <c:showLegendKey val="0"/>
          <c:showVal val="0"/>
          <c:showCatName val="0"/>
          <c:showSerName val="0"/>
          <c:showPercent val="0"/>
          <c:showBubbleSize val="0"/>
        </c:dLbls>
        <c:marker val="1"/>
        <c:smooth val="0"/>
        <c:axId val="726388718"/>
        <c:axId val="76718075"/>
      </c:lineChart>
      <c:catAx>
        <c:axId val="72638871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76718075"/>
        <c:crosses val="autoZero"/>
        <c:auto val="1"/>
        <c:lblAlgn val="ctr"/>
        <c:lblOffset val="100"/>
        <c:noMultiLvlLbl val="0"/>
      </c:catAx>
      <c:valAx>
        <c:axId val="76718075"/>
        <c:scaling>
          <c:orientation val="minMax"/>
        </c:scaling>
        <c:delete val="0"/>
        <c:axPos val="l"/>
        <c:majorGridlines>
          <c:spPr>
            <a:ln w="9525" cap="flat" cmpd="sng" algn="ctr">
              <a:solidFill>
                <a:schemeClr val="lt1">
                  <a:lumMod val="90200"/>
                </a:schemeClr>
              </a:solidFill>
              <a:round/>
            </a:ln>
            <a:effectLst/>
          </c:spPr>
        </c:majorGridlines>
        <c:numFmt formatCode="#\ ##0"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726388718"/>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8d38aee-8201-4c20-8581-b2d4dcc05461}"/>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72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ru-RU" altLang="zh-CN" sz="1200" u="none" strike="noStrike" cap="none" normalizeH="0">
                <a:solidFill>
                  <a:schemeClr val="tx1">
                    <a:lumMod val="75000"/>
                    <a:lumOff val="25000"/>
                  </a:schemeClr>
                </a:solidFill>
                <a:uFill>
                  <a:solidFill>
                    <a:schemeClr val="tx1">
                      <a:lumMod val="75000"/>
                      <a:lumOff val="25000"/>
                    </a:schemeClr>
                  </a:solidFill>
                </a:uFill>
                <a:latin typeface="Microsoft YaHei" panose="020B0503020204020204" pitchFamily="34" charset="-122"/>
              </a:rPr>
              <a:t>Динамика изменения </a:t>
            </a:r>
            <a:r>
              <a:rPr lang="ru-RU" altLang="zh-CN" sz="1200" b="1">
                <a:solidFill>
                  <a:schemeClr val="tx1">
                    <a:lumMod val="75000"/>
                    <a:lumOff val="25000"/>
                  </a:schemeClr>
                </a:solidFill>
                <a:uFill>
                  <a:solidFill>
                    <a:schemeClr val="tx1">
                      <a:lumMod val="75000"/>
                      <a:lumOff val="25000"/>
                    </a:schemeClr>
                  </a:solidFill>
                </a:uFill>
              </a:rPr>
              <a:t>центральных характеристик </a:t>
            </a:r>
            <a:r>
              <a:rPr lang="ru-RU" altLang="zh-CN" sz="1200" u="none" strike="noStrike" cap="none" normalizeH="0">
                <a:solidFill>
                  <a:schemeClr val="tx1">
                    <a:lumMod val="75000"/>
                    <a:lumOff val="25000"/>
                  </a:schemeClr>
                </a:solidFill>
                <a:uFill>
                  <a:solidFill>
                    <a:schemeClr val="tx1">
                      <a:lumMod val="75000"/>
                      <a:lumOff val="25000"/>
                    </a:schemeClr>
                  </a:solidFill>
                </a:uFill>
                <a:latin typeface="Microsoft YaHei" panose="020B0503020204020204" pitchFamily="34" charset="-122"/>
              </a:rPr>
              <a:t>2017-2024</a:t>
            </a:r>
            <a:endParaRPr lang="ru-RU" altLang="zh-CN" sz="1200" u="none" strike="noStrike" cap="none" normalizeH="0">
              <a:solidFill>
                <a:schemeClr val="tx1">
                  <a:lumMod val="75000"/>
                  <a:lumOff val="25000"/>
                </a:schemeClr>
              </a:solidFill>
              <a:uFill>
                <a:solidFill>
                  <a:schemeClr val="tx1">
                    <a:lumMod val="75000"/>
                    <a:lumOff val="25000"/>
                  </a:schemeClr>
                </a:solidFill>
              </a:uFill>
              <a:latin typeface="Microsoft YaHei" panose="020B0503020204020204" pitchFamily="34" charset="-122"/>
            </a:endParaRPr>
          </a:p>
        </c:rich>
      </c:tx>
      <c:layout/>
      <c:overlay val="0"/>
      <c:spPr>
        <a:noFill/>
        <a:ln>
          <a:noFill/>
        </a:ln>
        <a:effectLst/>
      </c:spPr>
    </c:title>
    <c:autoTitleDeleted val="0"/>
    <c:plotArea>
      <c:layout/>
      <c:barChart>
        <c:barDir val="col"/>
        <c:grouping val="clustered"/>
        <c:varyColors val="0"/>
        <c:ser>
          <c:idx val="0"/>
          <c:order val="0"/>
          <c:tx>
            <c:strRef>
              <c:f>'Задание  4'!$K$85</c:f>
              <c:strCache>
                <c:ptCount val="1"/>
                <c:pt idx="0">
                  <c:v>Me</c:v>
                </c:pt>
              </c:strCache>
            </c:strRef>
          </c:tx>
          <c:spPr>
            <a:solidFill>
              <a:schemeClr val="accent1"/>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6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'Задание  4'!$J$86:$J$93</c:f>
              <c:strCache>
                <c:ptCount val="8"/>
                <c:pt idx="0">
                  <c:v>2017</c:v>
                </c:pt>
                <c:pt idx="1">
                  <c:v>2018</c:v>
                </c:pt>
                <c:pt idx="2">
                  <c:v>2019</c:v>
                </c:pt>
                <c:pt idx="3">
                  <c:v>2020</c:v>
                </c:pt>
                <c:pt idx="4">
                  <c:v>2021</c:v>
                </c:pt>
                <c:pt idx="5">
                  <c:v>2022</c:v>
                </c:pt>
                <c:pt idx="6">
                  <c:v>2023</c:v>
                </c:pt>
                <c:pt idx="7">
                  <c:v>2024</c:v>
                </c:pt>
              </c:strCache>
            </c:strRef>
          </c:cat>
          <c:val>
            <c:numRef>
              <c:f>'Задание  4'!$K$86:$K$93</c:f>
              <c:numCache>
                <c:formatCode>0.00_ </c:formatCode>
                <c:ptCount val="8"/>
                <c:pt idx="0">
                  <c:v>40.2190690844517</c:v>
                </c:pt>
                <c:pt idx="1">
                  <c:v>40.6691539877895</c:v>
                </c:pt>
                <c:pt idx="2">
                  <c:v>40.5544263652909</c:v>
                </c:pt>
                <c:pt idx="3">
                  <c:v>41.4210643603117</c:v>
                </c:pt>
                <c:pt idx="4">
                  <c:v>41.7604824987846</c:v>
                </c:pt>
                <c:pt idx="5">
                  <c:v>41.9907241135894</c:v>
                </c:pt>
                <c:pt idx="6">
                  <c:v>42.3382159497437</c:v>
                </c:pt>
                <c:pt idx="7">
                  <c:v>41.8360531826574</c:v>
                </c:pt>
              </c:numCache>
            </c:numRef>
          </c:val>
        </c:ser>
        <c:ser>
          <c:idx val="1"/>
          <c:order val="1"/>
          <c:tx>
            <c:strRef>
              <c:f>'Задание  4'!$L$85</c:f>
              <c:strCache>
                <c:ptCount val="1"/>
                <c:pt idx="0">
                  <c:v>X^</c:v>
                </c:pt>
              </c:strCache>
            </c:strRef>
          </c:tx>
          <c:spPr>
            <a:solidFill>
              <a:schemeClr val="accent2"/>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6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'Задание  4'!$J$86:$J$93</c:f>
              <c:strCache>
                <c:ptCount val="8"/>
                <c:pt idx="0">
                  <c:v>2017</c:v>
                </c:pt>
                <c:pt idx="1">
                  <c:v>2018</c:v>
                </c:pt>
                <c:pt idx="2">
                  <c:v>2019</c:v>
                </c:pt>
                <c:pt idx="3">
                  <c:v>2020</c:v>
                </c:pt>
                <c:pt idx="4">
                  <c:v>2021</c:v>
                </c:pt>
                <c:pt idx="5">
                  <c:v>2022</c:v>
                </c:pt>
                <c:pt idx="6">
                  <c:v>2023</c:v>
                </c:pt>
                <c:pt idx="7">
                  <c:v>2024</c:v>
                </c:pt>
              </c:strCache>
            </c:strRef>
          </c:cat>
          <c:val>
            <c:numRef>
              <c:f>'Задание  4'!$L$86:$L$93</c:f>
              <c:numCache>
                <c:formatCode>0.00_ </c:formatCode>
                <c:ptCount val="8"/>
                <c:pt idx="0">
                  <c:v>39.4521489526204</c:v>
                </c:pt>
                <c:pt idx="1">
                  <c:v>39.6755105887978</c:v>
                </c:pt>
                <c:pt idx="2">
                  <c:v>39.2513409881315</c:v>
                </c:pt>
                <c:pt idx="3">
                  <c:v>40.2067800719797</c:v>
                </c:pt>
                <c:pt idx="4">
                  <c:v>40.4133808954063</c:v>
                </c:pt>
                <c:pt idx="5">
                  <c:v>40.5461888772422</c:v>
                </c:pt>
                <c:pt idx="6">
                  <c:v>40.7173884411646</c:v>
                </c:pt>
                <c:pt idx="7">
                  <c:v>41.1448673041624</c:v>
                </c:pt>
              </c:numCache>
            </c:numRef>
          </c:val>
        </c:ser>
        <c:ser>
          <c:idx val="2"/>
          <c:order val="2"/>
          <c:tx>
            <c:strRef>
              <c:f>'Задание  4'!$M$85</c:f>
              <c:strCache>
                <c:ptCount val="1"/>
                <c:pt idx="0">
                  <c:v>Mo</c:v>
                </c:pt>
              </c:strCache>
            </c:strRef>
          </c:tx>
          <c:spPr>
            <a:solidFill>
              <a:schemeClr val="accent3"/>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6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'Задание  4'!$J$86:$J$93</c:f>
              <c:strCache>
                <c:ptCount val="8"/>
                <c:pt idx="0">
                  <c:v>2017</c:v>
                </c:pt>
                <c:pt idx="1">
                  <c:v>2018</c:v>
                </c:pt>
                <c:pt idx="2">
                  <c:v>2019</c:v>
                </c:pt>
                <c:pt idx="3">
                  <c:v>2020</c:v>
                </c:pt>
                <c:pt idx="4">
                  <c:v>2021</c:v>
                </c:pt>
                <c:pt idx="5">
                  <c:v>2022</c:v>
                </c:pt>
                <c:pt idx="6">
                  <c:v>2023</c:v>
                </c:pt>
                <c:pt idx="7">
                  <c:v>2024</c:v>
                </c:pt>
              </c:strCache>
            </c:strRef>
          </c:cat>
          <c:val>
            <c:numRef>
              <c:f>'Задание  4'!$M$86:$M$93</c:f>
              <c:numCache>
                <c:formatCode>0.00_ </c:formatCode>
                <c:ptCount val="8"/>
                <c:pt idx="0">
                  <c:v>33.5579752795762</c:v>
                </c:pt>
                <c:pt idx="1">
                  <c:v>34.1786419265693</c:v>
                </c:pt>
                <c:pt idx="2">
                  <c:v>35.4673242909988</c:v>
                </c:pt>
                <c:pt idx="3">
                  <c:v>36.4882858587561</c:v>
                </c:pt>
                <c:pt idx="4">
                  <c:v>37.8707026276189</c:v>
                </c:pt>
                <c:pt idx="5">
                  <c:v>38.4458588010991</c:v>
                </c:pt>
                <c:pt idx="6">
                  <c:v>39.0766004155396</c:v>
                </c:pt>
                <c:pt idx="7">
                  <c:v>39.0390969162996</c:v>
                </c:pt>
              </c:numCache>
            </c:numRef>
          </c:val>
        </c:ser>
        <c:dLbls>
          <c:showLegendKey val="0"/>
          <c:showVal val="1"/>
          <c:showCatName val="0"/>
          <c:showSerName val="0"/>
          <c:showPercent val="0"/>
          <c:showBubbleSize val="0"/>
        </c:dLbls>
        <c:gapWidth val="260"/>
        <c:overlap val="-32"/>
        <c:axId val="759952963"/>
        <c:axId val="962945696"/>
      </c:barChart>
      <c:catAx>
        <c:axId val="759952963"/>
        <c:scaling>
          <c:orientation val="minMax"/>
        </c:scaling>
        <c:delete val="0"/>
        <c:axPos val="b"/>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6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962945696"/>
        <c:crosses val="autoZero"/>
        <c:auto val="1"/>
        <c:lblAlgn val="ctr"/>
        <c:lblOffset val="100"/>
        <c:noMultiLvlLbl val="0"/>
      </c:catAx>
      <c:valAx>
        <c:axId val="962945696"/>
        <c:scaling>
          <c:orientation val="minMax"/>
        </c:scaling>
        <c:delete val="1"/>
        <c:axPos val="l"/>
        <c:majorGridlines>
          <c:spPr>
            <a:ln w="6350" cap="flat" cmpd="sng" algn="ctr">
              <a:solidFill>
                <a:schemeClr val="tx1">
                  <a:lumMod val="50000"/>
                  <a:lumOff val="50000"/>
                  <a:alpha val="25000"/>
                </a:schemeClr>
              </a:solidFill>
              <a:round/>
            </a:ln>
            <a:effectLst/>
          </c:spPr>
        </c:majorGridlines>
        <c:numFmt formatCode="0.00_ " sourceLinked="1"/>
        <c:majorTickMark val="out"/>
        <c:minorTickMark val="none"/>
        <c:tickLblPos val="nextTo"/>
        <c:txPr>
          <a:bodyPr rot="-60000000" spcFirstLastPara="0" vertOverflow="ellipsis" vert="horz" wrap="square" anchor="ctr" anchorCtr="1" forceAA="0"/>
          <a:lstStyle/>
          <a:p>
            <a:pPr>
              <a:defRPr lang="zh-CN" sz="6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759952963"/>
        <c:crosses val="autoZero"/>
        <c:crossBetween val="between"/>
      </c:valAx>
      <c:spPr>
        <a:noFill/>
        <a:ln>
          <a:noFill/>
        </a:ln>
        <a:effectLst/>
      </c:spPr>
    </c:plotArea>
    <c:legend>
      <c:legendPos val="t"/>
      <c:legendEntry>
        <c:idx val="0"/>
        <c:txPr>
          <a:bodyPr rot="0" spcFirstLastPara="0" vertOverflow="ellipsis" vert="horz" wrap="square" anchor="ctr" anchorCtr="1"/>
          <a:lstStyle/>
          <a:p>
            <a:pPr>
              <a:defRPr lang="zh-CN" sz="14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Entry>
      <c:legendEntry>
        <c:idx val="1"/>
        <c:txPr>
          <a:bodyPr rot="0" spcFirstLastPara="0" vertOverflow="ellipsis" vert="horz" wrap="square" anchor="ctr" anchorCtr="1"/>
          <a:lstStyle/>
          <a:p>
            <a:pPr>
              <a:defRPr lang="zh-CN" sz="14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Entry>
      <c:legendEntry>
        <c:idx val="2"/>
        <c:txPr>
          <a:bodyPr rot="0" spcFirstLastPara="0" vertOverflow="ellipsis" vert="horz" wrap="square" anchor="ctr" anchorCtr="1"/>
          <a:lstStyle/>
          <a:p>
            <a:pPr>
              <a:defRPr lang="zh-CN" sz="14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Entry>
      <c:layout/>
      <c:overlay val="0"/>
      <c:spPr>
        <a:noFill/>
        <a:ln>
          <a:noFill/>
        </a:ln>
        <a:effectLst/>
      </c:spPr>
      <c:txPr>
        <a:bodyPr rot="0" spcFirstLastPara="0" vertOverflow="ellipsis" vert="horz" wrap="square" anchor="ctr" anchorCtr="1" forceAA="0"/>
        <a:lstStyle/>
        <a:p>
          <a:pPr>
            <a:defRPr lang="zh-CN" sz="14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chart>
  <c:spPr>
    <a:solidFill>
      <a:schemeClr val="bg1"/>
    </a:solidFill>
    <a:ln w="6350" cap="flat" cmpd="sng" algn="ctr">
      <a:solidFill>
        <a:schemeClr val="tx1">
          <a:lumMod val="50000"/>
          <a:lumOff val="50000"/>
          <a:alpha val="25000"/>
        </a:schemeClr>
      </a:solidFill>
      <a:round/>
    </a:ln>
    <a:effectLst/>
  </c:spPr>
  <c:txPr>
    <a:bodyPr/>
    <a:lstStyle/>
    <a:p>
      <a:pPr>
        <a:defRPr lang="zh-CN" sz="600" u="none" strike="noStrike" kern="1200" cap="none" spc="0" normalizeH="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Диаграмма рассеивания </a:t>
            </a:r>
          </a:p>
        </c:rich>
      </c:tx>
      <c:layout/>
      <c:overlay val="0"/>
      <c:spPr>
        <a:noFill/>
        <a:ln>
          <a:noFill/>
        </a:ln>
        <a:effectLst/>
      </c:spPr>
    </c:title>
    <c:autoTitleDeleted val="0"/>
    <c:plotArea>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xVal>
            <c:numRef>
              <c:f>'Задание 5'!$C$6:$C$13</c:f>
              <c:numCache>
                <c:formatCode>0.00_ </c:formatCode>
                <c:ptCount val="8"/>
                <c:pt idx="0">
                  <c:v>1100.79705575115</c:v>
                </c:pt>
                <c:pt idx="1">
                  <c:v>1402.30900418138</c:v>
                </c:pt>
                <c:pt idx="2">
                  <c:v>1284.18676096299</c:v>
                </c:pt>
                <c:pt idx="3">
                  <c:v>1420.24417382786</c:v>
                </c:pt>
                <c:pt idx="4">
                  <c:v>1802.1841848501</c:v>
                </c:pt>
                <c:pt idx="5">
                  <c:v>1857.53325629972</c:v>
                </c:pt>
                <c:pt idx="6">
                  <c:v>1854.96358397366</c:v>
                </c:pt>
                <c:pt idx="7">
                  <c:v>2253.40725729973</c:v>
                </c:pt>
              </c:numCache>
            </c:numRef>
          </c:xVal>
          <c:yVal>
            <c:numRef>
              <c:f>'Задание 5'!$D$6:$D$13</c:f>
              <c:numCache>
                <c:formatCode>#\ ##0</c:formatCode>
                <c:ptCount val="8"/>
                <c:pt idx="0">
                  <c:v>44992</c:v>
                </c:pt>
                <c:pt idx="1" c:formatCode="#\ ##0.####">
                  <c:v>50877.45</c:v>
                </c:pt>
                <c:pt idx="2" c:formatCode="#\ ##0.####">
                  <c:v>54492.08</c:v>
                </c:pt>
                <c:pt idx="3" c:formatCode="#\ ##0.####">
                  <c:v>58352.9</c:v>
                </c:pt>
                <c:pt idx="4" c:formatCode="#\ ##0.####">
                  <c:v>68184.7</c:v>
                </c:pt>
                <c:pt idx="5" c:formatCode="#\ ##0.####">
                  <c:v>77716.5</c:v>
                </c:pt>
                <c:pt idx="6">
                  <c:v>82996</c:v>
                </c:pt>
                <c:pt idx="7" c:formatCode="#\ ##0.####">
                  <c:v>93265.5</c:v>
                </c:pt>
              </c:numCache>
            </c:numRef>
          </c:yVal>
          <c:smooth val="0"/>
        </c:ser>
        <c:dLbls>
          <c:showLegendKey val="0"/>
          <c:showVal val="0"/>
          <c:showCatName val="0"/>
          <c:showSerName val="0"/>
          <c:showPercent val="0"/>
          <c:showBubbleSize val="0"/>
        </c:dLbls>
        <c:axId val="584178314"/>
        <c:axId val="893840313"/>
      </c:scatterChart>
      <c:valAx>
        <c:axId val="584178314"/>
        <c:scaling>
          <c:orientation val="minMax"/>
        </c:scaling>
        <c:delete val="0"/>
        <c:axPos val="b"/>
        <c:majorGridlines>
          <c:spPr>
            <a:ln w="9525" cap="flat" cmpd="sng" algn="ctr">
              <a:solidFill>
                <a:schemeClr val="lt1">
                  <a:lumMod val="90200"/>
                </a:schemeClr>
              </a:solidFill>
              <a:round/>
            </a:ln>
            <a:effectLst/>
          </c:spPr>
        </c:majorGridlines>
        <c:numFmt formatCode="0.00_ "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893840313"/>
        <c:crosses val="autoZero"/>
        <c:crossBetween val="midCat"/>
      </c:valAx>
      <c:valAx>
        <c:axId val="893840313"/>
        <c:scaling>
          <c:orientation val="minMax"/>
        </c:scaling>
        <c:delete val="0"/>
        <c:axPos val="l"/>
        <c:majorGridlines>
          <c:spPr>
            <a:ln w="9525" cap="flat" cmpd="sng" algn="ctr">
              <a:solidFill>
                <a:schemeClr val="lt1">
                  <a:lumMod val="90200"/>
                </a:schemeClr>
              </a:solidFill>
              <a:round/>
            </a:ln>
            <a:effectLst/>
          </c:spPr>
        </c:majorGridlines>
        <c:numFmt formatCode="#\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584178314"/>
        <c:crosses val="autoZero"/>
        <c:crossBetween val="midCat"/>
      </c:valAx>
      <c:spPr>
        <a:noFill/>
        <a:ln w="9525" cap="flat" cmpd="sng" algn="ctr">
          <a:solidFill>
            <a:schemeClr val="tx1">
              <a:lumMod val="15000"/>
              <a:lumOff val="85000"/>
            </a:schemeClr>
          </a:solidFill>
          <a:round/>
        </a:ln>
        <a:effectLst/>
      </c:spPr>
    </c:plotArea>
    <c:plotVisOnly val="1"/>
    <c:dispBlanksAs val="gap"/>
    <c:showDLblsOverMax val="0"/>
    <c:extLst>
      <c:ext uri="{0b15fc19-7d7d-44ad-8c2d-2c3a37ce22c3}">
        <chartProps xmlns="https://web.wps.cn/et/2018/main" chartId="{1cd04b60-1a13-406a-b9e5-f15711e66893}"/>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5" Type="http://schemas.openxmlformats.org/officeDocument/2006/relationships/image" Target="NULL" TargetMode="External"/><Relationship Id="rId4" Type="http://schemas.openxmlformats.org/officeDocument/2006/relationships/image" Target="../media/image1.GIF"/><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9" Type="http://schemas.openxmlformats.org/officeDocument/2006/relationships/image" Target="../media/image4.png"/><Relationship Id="rId8" Type="http://schemas.openxmlformats.org/officeDocument/2006/relationships/image" Target="../media/image3.png"/><Relationship Id="rId7" Type="http://schemas.openxmlformats.org/officeDocument/2006/relationships/image" Target="../media/image2.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9" Type="http://schemas.openxmlformats.org/officeDocument/2006/relationships/image" Target="../media/image13.png"/><Relationship Id="rId18" Type="http://schemas.openxmlformats.org/officeDocument/2006/relationships/image" Target="../media/image12.png"/><Relationship Id="rId17" Type="http://schemas.openxmlformats.org/officeDocument/2006/relationships/image" Target="../media/image11.png"/><Relationship Id="rId16" Type="http://schemas.openxmlformats.org/officeDocument/2006/relationships/image" Target="../media/image10.GIF"/><Relationship Id="rId15" Type="http://schemas.openxmlformats.org/officeDocument/2006/relationships/image" Target="../media/image9.png"/><Relationship Id="rId14" Type="http://schemas.openxmlformats.org/officeDocument/2006/relationships/image" Target="../media/image8.png"/><Relationship Id="rId13" Type="http://schemas.openxmlformats.org/officeDocument/2006/relationships/image" Target="../media/image7.png"/><Relationship Id="rId12" Type="http://schemas.openxmlformats.org/officeDocument/2006/relationships/image" Target="NULL" TargetMode="External"/><Relationship Id="rId11" Type="http://schemas.openxmlformats.org/officeDocument/2006/relationships/image" Target="../media/image6.GIF"/><Relationship Id="rId10" Type="http://schemas.openxmlformats.org/officeDocument/2006/relationships/image" Target="../media/image5.png"/><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NULL" TargetMode="External"/><Relationship Id="rId2" Type="http://schemas.openxmlformats.org/officeDocument/2006/relationships/image" Target="../media/image14.GIF"/><Relationship Id="rId1" Type="http://schemas.openxmlformats.org/officeDocument/2006/relationships/chart" Target="../charts/chart15.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504825</xdr:colOff>
      <xdr:row>6</xdr:row>
      <xdr:rowOff>86360</xdr:rowOff>
    </xdr:from>
    <xdr:to>
      <xdr:col>16</xdr:col>
      <xdr:colOff>533400</xdr:colOff>
      <xdr:row>22</xdr:row>
      <xdr:rowOff>35560</xdr:rowOff>
    </xdr:to>
    <xdr:graphicFrame>
      <xdr:nvGraphicFramePr>
        <xdr:cNvPr id="2" name="Диаграмма 1"/>
        <xdr:cNvGraphicFramePr/>
      </xdr:nvGraphicFramePr>
      <xdr:xfrm>
        <a:off x="9150350" y="1120140"/>
        <a:ext cx="4834255" cy="3185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820420</xdr:colOff>
      <xdr:row>35</xdr:row>
      <xdr:rowOff>33655</xdr:rowOff>
    </xdr:from>
    <xdr:to>
      <xdr:col>14</xdr:col>
      <xdr:colOff>405130</xdr:colOff>
      <xdr:row>46</xdr:row>
      <xdr:rowOff>125095</xdr:rowOff>
    </xdr:to>
    <xdr:graphicFrame>
      <xdr:nvGraphicFramePr>
        <xdr:cNvPr id="3" name="Диаграмма 2"/>
        <xdr:cNvGraphicFramePr/>
      </xdr:nvGraphicFramePr>
      <xdr:xfrm>
        <a:off x="7445375" y="7948295"/>
        <a:ext cx="5191760" cy="27457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599440</xdr:colOff>
      <xdr:row>60</xdr:row>
      <xdr:rowOff>23495</xdr:rowOff>
    </xdr:from>
    <xdr:to>
      <xdr:col>12</xdr:col>
      <xdr:colOff>374650</xdr:colOff>
      <xdr:row>72</xdr:row>
      <xdr:rowOff>15875</xdr:rowOff>
    </xdr:to>
    <xdr:graphicFrame>
      <xdr:nvGraphicFramePr>
        <xdr:cNvPr id="5" name="Диаграмма 4"/>
        <xdr:cNvGraphicFramePr/>
      </xdr:nvGraphicFramePr>
      <xdr:xfrm>
        <a:off x="6193155" y="13107035"/>
        <a:ext cx="5194300" cy="24130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41910</xdr:colOff>
      <xdr:row>48</xdr:row>
      <xdr:rowOff>96520</xdr:rowOff>
    </xdr:from>
    <xdr:to>
      <xdr:col>19</xdr:col>
      <xdr:colOff>551815</xdr:colOff>
      <xdr:row>55</xdr:row>
      <xdr:rowOff>79375</xdr:rowOff>
    </xdr:to>
    <xdr:pic>
      <xdr:nvPicPr>
        <xdr:cNvPr id="4" name="Изображение 3" descr="Picture background"/>
        <xdr:cNvPicPr>
          <a:picLocks noChangeAspect="1"/>
        </xdr:cNvPicPr>
      </xdr:nvPicPr>
      <xdr:blipFill>
        <a:blip r:embed="rId4" r:link="rId5"/>
        <a:stretch>
          <a:fillRect/>
        </a:stretch>
      </xdr:blipFill>
      <xdr:spPr>
        <a:xfrm>
          <a:off x="11664315" y="11000740"/>
          <a:ext cx="4167505" cy="1323975"/>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11</xdr:col>
      <xdr:colOff>55880</xdr:colOff>
      <xdr:row>1</xdr:row>
      <xdr:rowOff>162560</xdr:rowOff>
    </xdr:from>
    <xdr:to>
      <xdr:col>19</xdr:col>
      <xdr:colOff>5080</xdr:colOff>
      <xdr:row>13</xdr:row>
      <xdr:rowOff>71120</xdr:rowOff>
    </xdr:to>
    <xdr:graphicFrame>
      <xdr:nvGraphicFramePr>
        <xdr:cNvPr id="3" name="Диаграмма 2"/>
        <xdr:cNvGraphicFramePr/>
      </xdr:nvGraphicFramePr>
      <xdr:xfrm>
        <a:off x="9160510" y="3302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17</xdr:row>
      <xdr:rowOff>33655</xdr:rowOff>
    </xdr:from>
    <xdr:to>
      <xdr:col>18</xdr:col>
      <xdr:colOff>587375</xdr:colOff>
      <xdr:row>33</xdr:row>
      <xdr:rowOff>94615</xdr:rowOff>
    </xdr:to>
    <xdr:graphicFrame>
      <xdr:nvGraphicFramePr>
        <xdr:cNvPr id="4" name="Диаграмма 3"/>
        <xdr:cNvGraphicFramePr/>
      </xdr:nvGraphicFramePr>
      <xdr:xfrm>
        <a:off x="9133205" y="3706495"/>
        <a:ext cx="4826000" cy="3078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9</xdr:col>
      <xdr:colOff>650240</xdr:colOff>
      <xdr:row>2</xdr:row>
      <xdr:rowOff>124460</xdr:rowOff>
    </xdr:from>
    <xdr:to>
      <xdr:col>15</xdr:col>
      <xdr:colOff>271780</xdr:colOff>
      <xdr:row>14</xdr:row>
      <xdr:rowOff>185420</xdr:rowOff>
    </xdr:to>
    <xdr:graphicFrame>
      <xdr:nvGraphicFramePr>
        <xdr:cNvPr id="2" name="Диаграмма 1"/>
        <xdr:cNvGraphicFramePr/>
      </xdr:nvGraphicFramePr>
      <xdr:xfrm>
        <a:off x="9535160" y="45974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612140</xdr:colOff>
      <xdr:row>17</xdr:row>
      <xdr:rowOff>40640</xdr:rowOff>
    </xdr:from>
    <xdr:to>
      <xdr:col>15</xdr:col>
      <xdr:colOff>233680</xdr:colOff>
      <xdr:row>30</xdr:row>
      <xdr:rowOff>111760</xdr:rowOff>
    </xdr:to>
    <xdr:graphicFrame>
      <xdr:nvGraphicFramePr>
        <xdr:cNvPr id="3" name="Диаграмма 2"/>
        <xdr:cNvGraphicFramePr/>
      </xdr:nvGraphicFramePr>
      <xdr:xfrm>
        <a:off x="9497060" y="3728720"/>
        <a:ext cx="4826000"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1143000</xdr:colOff>
      <xdr:row>32</xdr:row>
      <xdr:rowOff>68580</xdr:rowOff>
    </xdr:from>
    <xdr:to>
      <xdr:col>12</xdr:col>
      <xdr:colOff>383540</xdr:colOff>
      <xdr:row>48</xdr:row>
      <xdr:rowOff>129540</xdr:rowOff>
    </xdr:to>
    <xdr:graphicFrame>
      <xdr:nvGraphicFramePr>
        <xdr:cNvPr id="4" name="Диаграмма 3"/>
        <xdr:cNvGraphicFramePr/>
      </xdr:nvGraphicFramePr>
      <xdr:xfrm>
        <a:off x="7818120" y="6764020"/>
        <a:ext cx="4826000"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13</xdr:col>
      <xdr:colOff>80010</xdr:colOff>
      <xdr:row>2</xdr:row>
      <xdr:rowOff>88265</xdr:rowOff>
    </xdr:from>
    <xdr:to>
      <xdr:col>19</xdr:col>
      <xdr:colOff>260350</xdr:colOff>
      <xdr:row>11</xdr:row>
      <xdr:rowOff>52070</xdr:rowOff>
    </xdr:to>
    <xdr:graphicFrame>
      <xdr:nvGraphicFramePr>
        <xdr:cNvPr id="3" name="Диаграмма 2"/>
        <xdr:cNvGraphicFramePr/>
      </xdr:nvGraphicFramePr>
      <xdr:xfrm>
        <a:off x="14772640" y="306705"/>
        <a:ext cx="6063615" cy="27451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294640</xdr:colOff>
      <xdr:row>19</xdr:row>
      <xdr:rowOff>75565</xdr:rowOff>
    </xdr:from>
    <xdr:to>
      <xdr:col>11</xdr:col>
      <xdr:colOff>859790</xdr:colOff>
      <xdr:row>33</xdr:row>
      <xdr:rowOff>359410</xdr:rowOff>
    </xdr:to>
    <xdr:graphicFrame>
      <xdr:nvGraphicFramePr>
        <xdr:cNvPr id="4" name="Диаграмма 3"/>
        <xdr:cNvGraphicFramePr/>
      </xdr:nvGraphicFramePr>
      <xdr:xfrm>
        <a:off x="7747000" y="5086985"/>
        <a:ext cx="4767580" cy="26536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118110</xdr:colOff>
      <xdr:row>13</xdr:row>
      <xdr:rowOff>147320</xdr:rowOff>
    </xdr:from>
    <xdr:to>
      <xdr:col>19</xdr:col>
      <xdr:colOff>294005</xdr:colOff>
      <xdr:row>33</xdr:row>
      <xdr:rowOff>294640</xdr:rowOff>
    </xdr:to>
    <xdr:graphicFrame>
      <xdr:nvGraphicFramePr>
        <xdr:cNvPr id="7" name="Диаграмма 6"/>
        <xdr:cNvGraphicFramePr/>
      </xdr:nvGraphicFramePr>
      <xdr:xfrm>
        <a:off x="14810740" y="3482340"/>
        <a:ext cx="6059170" cy="41935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704850</xdr:colOff>
      <xdr:row>33</xdr:row>
      <xdr:rowOff>775970</xdr:rowOff>
    </xdr:from>
    <xdr:to>
      <xdr:col>8</xdr:col>
      <xdr:colOff>462280</xdr:colOff>
      <xdr:row>33</xdr:row>
      <xdr:rowOff>1457325</xdr:rowOff>
    </xdr:to>
    <xdr:pic>
      <xdr:nvPicPr>
        <xdr:cNvPr id="8" name="Изображение 7"/>
        <xdr:cNvPicPr>
          <a:picLocks noChangeAspect="1"/>
        </xdr:cNvPicPr>
      </xdr:nvPicPr>
      <xdr:blipFill>
        <a:blip r:embed="rId7"/>
        <a:stretch>
          <a:fillRect/>
        </a:stretch>
      </xdr:blipFill>
      <xdr:spPr>
        <a:xfrm>
          <a:off x="6982460" y="8157210"/>
          <a:ext cx="2259965" cy="681355"/>
        </a:xfrm>
        <a:prstGeom prst="rect">
          <a:avLst/>
        </a:prstGeom>
        <a:noFill/>
        <a:ln w="9525">
          <a:noFill/>
        </a:ln>
      </xdr:spPr>
    </xdr:pic>
    <xdr:clientData/>
  </xdr:twoCellAnchor>
  <xdr:twoCellAnchor editAs="oneCell">
    <xdr:from>
      <xdr:col>8</xdr:col>
      <xdr:colOff>873125</xdr:colOff>
      <xdr:row>33</xdr:row>
      <xdr:rowOff>733425</xdr:rowOff>
    </xdr:from>
    <xdr:to>
      <xdr:col>9</xdr:col>
      <xdr:colOff>861695</xdr:colOff>
      <xdr:row>33</xdr:row>
      <xdr:rowOff>1466850</xdr:rowOff>
    </xdr:to>
    <xdr:pic>
      <xdr:nvPicPr>
        <xdr:cNvPr id="9" name="Изображение 8"/>
        <xdr:cNvPicPr>
          <a:picLocks noChangeAspect="1"/>
        </xdr:cNvPicPr>
      </xdr:nvPicPr>
      <xdr:blipFill>
        <a:blip r:embed="rId8"/>
        <a:stretch>
          <a:fillRect/>
        </a:stretch>
      </xdr:blipFill>
      <xdr:spPr>
        <a:xfrm>
          <a:off x="9653270" y="8114665"/>
          <a:ext cx="923925" cy="733425"/>
        </a:xfrm>
        <a:prstGeom prst="rect">
          <a:avLst/>
        </a:prstGeom>
        <a:noFill/>
        <a:ln w="9525">
          <a:noFill/>
        </a:ln>
      </xdr:spPr>
    </xdr:pic>
    <xdr:clientData/>
  </xdr:twoCellAnchor>
  <xdr:twoCellAnchor editAs="oneCell">
    <xdr:from>
      <xdr:col>10</xdr:col>
      <xdr:colOff>740410</xdr:colOff>
      <xdr:row>33</xdr:row>
      <xdr:rowOff>721360</xdr:rowOff>
    </xdr:from>
    <xdr:to>
      <xdr:col>11</xdr:col>
      <xdr:colOff>669925</xdr:colOff>
      <xdr:row>33</xdr:row>
      <xdr:rowOff>1492885</xdr:rowOff>
    </xdr:to>
    <xdr:pic>
      <xdr:nvPicPr>
        <xdr:cNvPr id="10" name="Изображение 9"/>
        <xdr:cNvPicPr>
          <a:picLocks noChangeAspect="1"/>
        </xdr:cNvPicPr>
      </xdr:nvPicPr>
      <xdr:blipFill>
        <a:blip r:embed="rId9"/>
        <a:stretch>
          <a:fillRect/>
        </a:stretch>
      </xdr:blipFill>
      <xdr:spPr>
        <a:xfrm>
          <a:off x="11381740" y="8102600"/>
          <a:ext cx="942975" cy="771525"/>
        </a:xfrm>
        <a:prstGeom prst="rect">
          <a:avLst/>
        </a:prstGeom>
        <a:noFill/>
        <a:ln w="9525">
          <a:noFill/>
        </a:ln>
      </xdr:spPr>
    </xdr:pic>
    <xdr:clientData/>
  </xdr:twoCellAnchor>
  <xdr:twoCellAnchor>
    <xdr:from>
      <xdr:col>13</xdr:col>
      <xdr:colOff>292735</xdr:colOff>
      <xdr:row>45</xdr:row>
      <xdr:rowOff>219075</xdr:rowOff>
    </xdr:from>
    <xdr:to>
      <xdr:col>19</xdr:col>
      <xdr:colOff>471170</xdr:colOff>
      <xdr:row>60</xdr:row>
      <xdr:rowOff>59055</xdr:rowOff>
    </xdr:to>
    <xdr:graphicFrame>
      <xdr:nvGraphicFramePr>
        <xdr:cNvPr id="11" name="Диаграмма 10"/>
        <xdr:cNvGraphicFramePr/>
      </xdr:nvGraphicFramePr>
      <xdr:xfrm>
        <a:off x="14985365" y="11306175"/>
        <a:ext cx="606171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144145</xdr:colOff>
      <xdr:row>33</xdr:row>
      <xdr:rowOff>541020</xdr:rowOff>
    </xdr:from>
    <xdr:to>
      <xdr:col>25</xdr:col>
      <xdr:colOff>96520</xdr:colOff>
      <xdr:row>42</xdr:row>
      <xdr:rowOff>172720</xdr:rowOff>
    </xdr:to>
    <xdr:graphicFrame>
      <xdr:nvGraphicFramePr>
        <xdr:cNvPr id="12" name="Диаграмма 11"/>
        <xdr:cNvGraphicFramePr/>
      </xdr:nvGraphicFramePr>
      <xdr:xfrm>
        <a:off x="18532475" y="7922260"/>
        <a:ext cx="5797550"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836295</xdr:colOff>
      <xdr:row>63</xdr:row>
      <xdr:rowOff>55880</xdr:rowOff>
    </xdr:from>
    <xdr:to>
      <xdr:col>11</xdr:col>
      <xdr:colOff>348615</xdr:colOff>
      <xdr:row>64</xdr:row>
      <xdr:rowOff>163195</xdr:rowOff>
    </xdr:to>
    <xdr:pic>
      <xdr:nvPicPr>
        <xdr:cNvPr id="2" name="Изображение 1"/>
        <xdr:cNvPicPr>
          <a:picLocks noChangeAspect="1"/>
        </xdr:cNvPicPr>
      </xdr:nvPicPr>
      <xdr:blipFill>
        <a:blip r:embed="rId10"/>
        <a:stretch>
          <a:fillRect/>
        </a:stretch>
      </xdr:blipFill>
      <xdr:spPr>
        <a:xfrm>
          <a:off x="10551795" y="14549120"/>
          <a:ext cx="1451610" cy="518795"/>
        </a:xfrm>
        <a:prstGeom prst="rect">
          <a:avLst/>
        </a:prstGeom>
        <a:noFill/>
        <a:ln w="9525">
          <a:noFill/>
        </a:ln>
      </xdr:spPr>
    </xdr:pic>
    <xdr:clientData/>
  </xdr:twoCellAnchor>
  <xdr:twoCellAnchor editAs="oneCell">
    <xdr:from>
      <xdr:col>10</xdr:col>
      <xdr:colOff>23495</xdr:colOff>
      <xdr:row>68</xdr:row>
      <xdr:rowOff>168910</xdr:rowOff>
    </xdr:from>
    <xdr:to>
      <xdr:col>12</xdr:col>
      <xdr:colOff>160655</xdr:colOff>
      <xdr:row>69</xdr:row>
      <xdr:rowOff>62230</xdr:rowOff>
    </xdr:to>
    <xdr:pic>
      <xdr:nvPicPr>
        <xdr:cNvPr id="5" name="Изображение 4" descr="Picture background"/>
        <xdr:cNvPicPr>
          <a:picLocks noChangeAspect="1"/>
        </xdr:cNvPicPr>
      </xdr:nvPicPr>
      <xdr:blipFill>
        <a:blip r:embed="rId11" r:link="rId12"/>
        <a:stretch>
          <a:fillRect/>
        </a:stretch>
      </xdr:blipFill>
      <xdr:spPr>
        <a:xfrm>
          <a:off x="10664825" y="16209010"/>
          <a:ext cx="2717800" cy="441960"/>
        </a:xfrm>
        <a:prstGeom prst="rect">
          <a:avLst/>
        </a:prstGeom>
        <a:noFill/>
        <a:ln>
          <a:noFill/>
        </a:ln>
      </xdr:spPr>
    </xdr:pic>
    <xdr:clientData/>
  </xdr:twoCellAnchor>
  <xdr:twoCellAnchor editAs="oneCell">
    <xdr:from>
      <xdr:col>10</xdr:col>
      <xdr:colOff>100965</xdr:colOff>
      <xdr:row>75</xdr:row>
      <xdr:rowOff>36195</xdr:rowOff>
    </xdr:from>
    <xdr:to>
      <xdr:col>11</xdr:col>
      <xdr:colOff>1461135</xdr:colOff>
      <xdr:row>76</xdr:row>
      <xdr:rowOff>442595</xdr:rowOff>
    </xdr:to>
    <xdr:pic>
      <xdr:nvPicPr>
        <xdr:cNvPr id="6" name="Изображение 5" descr="Picture background"/>
        <xdr:cNvPicPr>
          <a:picLocks noChangeAspect="1"/>
        </xdr:cNvPicPr>
      </xdr:nvPicPr>
      <xdr:blipFill>
        <a:blip r:embed="rId13" r:link="rId12"/>
        <a:stretch>
          <a:fillRect/>
        </a:stretch>
      </xdr:blipFill>
      <xdr:spPr>
        <a:xfrm>
          <a:off x="10742295" y="18959195"/>
          <a:ext cx="2373630" cy="817880"/>
        </a:xfrm>
        <a:prstGeom prst="rect">
          <a:avLst/>
        </a:prstGeom>
        <a:noFill/>
        <a:ln>
          <a:noFill/>
        </a:ln>
      </xdr:spPr>
    </xdr:pic>
    <xdr:clientData/>
  </xdr:twoCellAnchor>
  <xdr:twoCellAnchor editAs="oneCell">
    <xdr:from>
      <xdr:col>15</xdr:col>
      <xdr:colOff>86360</xdr:colOff>
      <xdr:row>65</xdr:row>
      <xdr:rowOff>219710</xdr:rowOff>
    </xdr:from>
    <xdr:to>
      <xdr:col>17</xdr:col>
      <xdr:colOff>149860</xdr:colOff>
      <xdr:row>68</xdr:row>
      <xdr:rowOff>27940</xdr:rowOff>
    </xdr:to>
    <xdr:pic>
      <xdr:nvPicPr>
        <xdr:cNvPr id="13" name="Изображение 12"/>
        <xdr:cNvPicPr>
          <a:picLocks noChangeAspect="1"/>
        </xdr:cNvPicPr>
      </xdr:nvPicPr>
      <xdr:blipFill>
        <a:blip r:embed="rId14"/>
        <a:stretch>
          <a:fillRect/>
        </a:stretch>
      </xdr:blipFill>
      <xdr:spPr>
        <a:xfrm>
          <a:off x="17255490" y="15330170"/>
          <a:ext cx="1282700" cy="737870"/>
        </a:xfrm>
        <a:prstGeom prst="rect">
          <a:avLst/>
        </a:prstGeom>
        <a:noFill/>
        <a:ln w="9525">
          <a:noFill/>
        </a:ln>
      </xdr:spPr>
    </xdr:pic>
    <xdr:clientData/>
  </xdr:twoCellAnchor>
  <xdr:twoCellAnchor editAs="oneCell">
    <xdr:from>
      <xdr:col>15</xdr:col>
      <xdr:colOff>19050</xdr:colOff>
      <xdr:row>68</xdr:row>
      <xdr:rowOff>19685</xdr:rowOff>
    </xdr:from>
    <xdr:to>
      <xdr:col>17</xdr:col>
      <xdr:colOff>437515</xdr:colOff>
      <xdr:row>69</xdr:row>
      <xdr:rowOff>12700</xdr:rowOff>
    </xdr:to>
    <xdr:pic>
      <xdr:nvPicPr>
        <xdr:cNvPr id="14" name="Изображение 13"/>
        <xdr:cNvPicPr>
          <a:picLocks noChangeAspect="1"/>
        </xdr:cNvPicPr>
      </xdr:nvPicPr>
      <xdr:blipFill>
        <a:blip r:embed="rId15"/>
        <a:stretch>
          <a:fillRect/>
        </a:stretch>
      </xdr:blipFill>
      <xdr:spPr>
        <a:xfrm>
          <a:off x="17188180" y="16059785"/>
          <a:ext cx="1637665" cy="541655"/>
        </a:xfrm>
        <a:prstGeom prst="rect">
          <a:avLst/>
        </a:prstGeom>
        <a:noFill/>
        <a:ln w="9525">
          <a:noFill/>
        </a:ln>
      </xdr:spPr>
    </xdr:pic>
    <xdr:clientData/>
  </xdr:twoCellAnchor>
  <xdr:twoCellAnchor editAs="oneCell">
    <xdr:from>
      <xdr:col>15</xdr:col>
      <xdr:colOff>174625</xdr:colOff>
      <xdr:row>69</xdr:row>
      <xdr:rowOff>1270</xdr:rowOff>
    </xdr:from>
    <xdr:to>
      <xdr:col>17</xdr:col>
      <xdr:colOff>81915</xdr:colOff>
      <xdr:row>70</xdr:row>
      <xdr:rowOff>133350</xdr:rowOff>
    </xdr:to>
    <xdr:pic>
      <xdr:nvPicPr>
        <xdr:cNvPr id="16" name="Изображение 15" descr="Picture background"/>
        <xdr:cNvPicPr>
          <a:picLocks noChangeAspect="1"/>
        </xdr:cNvPicPr>
      </xdr:nvPicPr>
      <xdr:blipFill>
        <a:blip r:embed="rId16" r:link="rId12"/>
        <a:stretch>
          <a:fillRect/>
        </a:stretch>
      </xdr:blipFill>
      <xdr:spPr>
        <a:xfrm>
          <a:off x="17343755" y="16590010"/>
          <a:ext cx="1126490" cy="467360"/>
        </a:xfrm>
        <a:prstGeom prst="rect">
          <a:avLst/>
        </a:prstGeom>
        <a:noFill/>
        <a:ln>
          <a:noFill/>
        </a:ln>
      </xdr:spPr>
    </xdr:pic>
    <xdr:clientData/>
  </xdr:twoCellAnchor>
  <xdr:twoCellAnchor editAs="oneCell">
    <xdr:from>
      <xdr:col>15</xdr:col>
      <xdr:colOff>503555</xdr:colOff>
      <xdr:row>73</xdr:row>
      <xdr:rowOff>158750</xdr:rowOff>
    </xdr:from>
    <xdr:to>
      <xdr:col>17</xdr:col>
      <xdr:colOff>494665</xdr:colOff>
      <xdr:row>73</xdr:row>
      <xdr:rowOff>718820</xdr:rowOff>
    </xdr:to>
    <xdr:pic>
      <xdr:nvPicPr>
        <xdr:cNvPr id="17" name="Изображение 16"/>
        <xdr:cNvPicPr>
          <a:picLocks noChangeAspect="1"/>
        </xdr:cNvPicPr>
      </xdr:nvPicPr>
      <xdr:blipFill>
        <a:blip r:embed="rId17"/>
        <a:stretch>
          <a:fillRect/>
        </a:stretch>
      </xdr:blipFill>
      <xdr:spPr>
        <a:xfrm>
          <a:off x="17672685" y="17806670"/>
          <a:ext cx="1210310" cy="560070"/>
        </a:xfrm>
        <a:prstGeom prst="rect">
          <a:avLst/>
        </a:prstGeom>
        <a:noFill/>
        <a:ln w="9525">
          <a:noFill/>
        </a:ln>
      </xdr:spPr>
    </xdr:pic>
    <xdr:clientData/>
  </xdr:twoCellAnchor>
  <xdr:twoCellAnchor editAs="oneCell">
    <xdr:from>
      <xdr:col>15</xdr:col>
      <xdr:colOff>312420</xdr:colOff>
      <xdr:row>74</xdr:row>
      <xdr:rowOff>391795</xdr:rowOff>
    </xdr:from>
    <xdr:to>
      <xdr:col>17</xdr:col>
      <xdr:colOff>748030</xdr:colOff>
      <xdr:row>76</xdr:row>
      <xdr:rowOff>257810</xdr:rowOff>
    </xdr:to>
    <xdr:pic>
      <xdr:nvPicPr>
        <xdr:cNvPr id="18" name="Изображение 17"/>
        <xdr:cNvPicPr>
          <a:picLocks noChangeAspect="1"/>
        </xdr:cNvPicPr>
      </xdr:nvPicPr>
      <xdr:blipFill>
        <a:blip r:embed="rId18"/>
        <a:stretch>
          <a:fillRect/>
        </a:stretch>
      </xdr:blipFill>
      <xdr:spPr>
        <a:xfrm>
          <a:off x="17481550" y="18903315"/>
          <a:ext cx="1654810" cy="688975"/>
        </a:xfrm>
        <a:prstGeom prst="rect">
          <a:avLst/>
        </a:prstGeom>
        <a:noFill/>
        <a:ln w="9525">
          <a:noFill/>
        </a:ln>
      </xdr:spPr>
    </xdr:pic>
    <xdr:clientData/>
  </xdr:twoCellAnchor>
  <xdr:twoCellAnchor editAs="oneCell">
    <xdr:from>
      <xdr:col>15</xdr:col>
      <xdr:colOff>424815</xdr:colOff>
      <xdr:row>76</xdr:row>
      <xdr:rowOff>297180</xdr:rowOff>
    </xdr:from>
    <xdr:to>
      <xdr:col>17</xdr:col>
      <xdr:colOff>786765</xdr:colOff>
      <xdr:row>79</xdr:row>
      <xdr:rowOff>78740</xdr:rowOff>
    </xdr:to>
    <xdr:pic>
      <xdr:nvPicPr>
        <xdr:cNvPr id="19" name="Изображение 18"/>
        <xdr:cNvPicPr>
          <a:picLocks noChangeAspect="1"/>
        </xdr:cNvPicPr>
      </xdr:nvPicPr>
      <xdr:blipFill>
        <a:blip r:embed="rId19"/>
        <a:stretch>
          <a:fillRect/>
        </a:stretch>
      </xdr:blipFill>
      <xdr:spPr>
        <a:xfrm>
          <a:off x="17593945" y="19631660"/>
          <a:ext cx="1581150" cy="863600"/>
        </a:xfrm>
        <a:prstGeom prst="rect">
          <a:avLst/>
        </a:prstGeom>
        <a:noFill/>
        <a:ln w="9525">
          <a:noFill/>
        </a:ln>
      </xdr:spPr>
    </xdr:pic>
    <xdr:clientData/>
  </xdr:twoCellAnchor>
  <xdr:twoCellAnchor>
    <xdr:from>
      <xdr:col>16</xdr:col>
      <xdr:colOff>269240</xdr:colOff>
      <xdr:row>81</xdr:row>
      <xdr:rowOff>51435</xdr:rowOff>
    </xdr:from>
    <xdr:to>
      <xdr:col>25</xdr:col>
      <xdr:colOff>577215</xdr:colOff>
      <xdr:row>101</xdr:row>
      <xdr:rowOff>5080</xdr:rowOff>
    </xdr:to>
    <xdr:graphicFrame>
      <xdr:nvGraphicFramePr>
        <xdr:cNvPr id="21" name="Диаграмма 20" descr="7b0a202020202263686172745265734964223a202234363130333534220a7d0a"/>
        <xdr:cNvGraphicFramePr/>
      </xdr:nvGraphicFramePr>
      <xdr:xfrm>
        <a:off x="18047970" y="20986115"/>
        <a:ext cx="6762750" cy="579818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541020</xdr:colOff>
      <xdr:row>19</xdr:row>
      <xdr:rowOff>93345</xdr:rowOff>
    </xdr:from>
    <xdr:to>
      <xdr:col>6</xdr:col>
      <xdr:colOff>133350</xdr:colOff>
      <xdr:row>26</xdr:row>
      <xdr:rowOff>110490</xdr:rowOff>
    </xdr:to>
    <xdr:pic>
      <xdr:nvPicPr>
        <xdr:cNvPr id="2" name="Изображение 1" descr="Picture background"/>
        <xdr:cNvPicPr>
          <a:picLocks noChangeAspect="1"/>
        </xdr:cNvPicPr>
      </xdr:nvPicPr>
      <xdr:blipFill>
        <a:blip r:embed="rId2" r:link="rId3"/>
        <a:stretch>
          <a:fillRect/>
        </a:stretch>
      </xdr:blipFill>
      <xdr:spPr>
        <a:xfrm>
          <a:off x="541020" y="4175125"/>
          <a:ext cx="4499610" cy="1190625"/>
        </a:xfrm>
        <a:prstGeom prst="rect">
          <a:avLst/>
        </a:prstGeom>
        <a:noFill/>
        <a:ln>
          <a:noFill/>
        </a:ln>
      </xdr:spPr>
    </xdr:pic>
    <xdr:clientData/>
  </xdr:twoCellAnchor>
  <xdr:twoCellAnchor>
    <xdr:from>
      <xdr:col>10</xdr:col>
      <xdr:colOff>219710</xdr:colOff>
      <xdr:row>4</xdr:row>
      <xdr:rowOff>176530</xdr:rowOff>
    </xdr:from>
    <xdr:to>
      <xdr:col>19</xdr:col>
      <xdr:colOff>85090</xdr:colOff>
      <xdr:row>17</xdr:row>
      <xdr:rowOff>238125</xdr:rowOff>
    </xdr:to>
    <xdr:graphicFrame>
      <xdr:nvGraphicFramePr>
        <xdr:cNvPr id="3" name="Диаграмма 2"/>
        <xdr:cNvGraphicFramePr/>
      </xdr:nvGraphicFramePr>
      <xdr:xfrm>
        <a:off x="9066530" y="847090"/>
        <a:ext cx="5351780" cy="30156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2:L80"/>
  <sheetViews>
    <sheetView zoomScale="83" zoomScaleNormal="83" zoomScaleSheetLayoutView="60" topLeftCell="A7" workbookViewId="0">
      <selection activeCell="C66" sqref="C66"/>
    </sheetView>
  </sheetViews>
  <sheetFormatPr defaultColWidth="8.88888888888889" defaultRowHeight="13.2"/>
  <cols>
    <col min="1" max="1" width="8.87037037037037" customWidth="1"/>
    <col min="2" max="2" width="10.6296296296296" customWidth="1"/>
    <col min="3" max="3" width="16.5555555555556" customWidth="1"/>
    <col min="4" max="4" width="16.1296296296296" customWidth="1"/>
    <col min="5" max="5" width="13.2592592592593" customWidth="1"/>
    <col min="6" max="6" width="16.1203703703704" customWidth="1"/>
    <col min="7" max="7" width="15.037037037037" customWidth="1"/>
    <col min="8" max="8" width="13.9537037037037" customWidth="1"/>
    <col min="9" max="9" width="15.5092592592593" customWidth="1"/>
    <col min="10" max="10" width="13.5833333333333" customWidth="1"/>
    <col min="11" max="11" width="12.0462962962963" customWidth="1"/>
  </cols>
  <sheetData>
    <row r="2" ht="14.4" spans="1:9">
      <c r="B2" s="232" t="s">
        <v>0</v>
      </c>
      <c r="C2" s="233"/>
      <c r="D2" s="233"/>
      <c r="E2" s="233" t="s">
        <v>1</v>
      </c>
      <c r="F2" s="233"/>
      <c r="G2" s="234"/>
    </row>
    <row r="3" ht="14.4" spans="1:9">
      <c r="B3" s="232" t="s">
        <v>2</v>
      </c>
      <c r="C3" s="233"/>
      <c r="D3" s="233"/>
      <c r="E3" s="235" t="s">
        <v>3</v>
      </c>
      <c r="F3" s="235"/>
      <c r="G3" s="236"/>
    </row>
    <row r="4" ht="14.4" spans="1:9">
      <c r="B4" s="237"/>
      <c r="C4" s="237"/>
    </row>
    <row r="5" ht="8" customHeight="1"/>
    <row r="6" ht="17" customHeight="1" spans="1:9">
      <c r="A6" s="124" t="s">
        <v>4</v>
      </c>
      <c r="B6" s="124"/>
      <c r="C6" s="124"/>
      <c r="D6" s="124"/>
      <c r="E6" s="124"/>
    </row>
    <row r="7" spans="1:9">
      <c r="A7" s="124"/>
      <c r="B7" s="124"/>
      <c r="C7" s="124"/>
      <c r="D7" s="124"/>
      <c r="E7" s="124"/>
    </row>
    <row r="10" ht="31" customHeight="1" spans="1:9">
      <c r="A10" s="238" t="s">
        <v>5</v>
      </c>
      <c r="B10" s="238"/>
      <c r="C10" s="238"/>
      <c r="D10" s="238"/>
      <c r="E10" s="238"/>
    </row>
    <row r="12" ht="39" customHeight="1" spans="1:9">
      <c r="B12" s="206" t="s">
        <v>6</v>
      </c>
      <c r="C12" s="207" t="s">
        <v>7</v>
      </c>
      <c r="D12" s="207" t="s">
        <v>8</v>
      </c>
      <c r="E12" s="218" t="s">
        <v>9</v>
      </c>
      <c r="F12" s="239" t="s">
        <v>10</v>
      </c>
      <c r="G12" s="240" t="s">
        <v>11</v>
      </c>
      <c r="H12" s="126" t="s">
        <v>12</v>
      </c>
      <c r="I12" s="126" t="s">
        <v>13</v>
      </c>
    </row>
    <row r="13" spans="1:9">
      <c r="B13" s="241" t="s">
        <v>14</v>
      </c>
      <c r="C13" s="209">
        <v>4671116</v>
      </c>
      <c r="D13" s="8" t="s">
        <v>15</v>
      </c>
      <c r="E13" s="221" t="s">
        <v>15</v>
      </c>
      <c r="F13" s="242" t="s">
        <v>15</v>
      </c>
      <c r="G13" s="243">
        <v>226009168</v>
      </c>
      <c r="H13" s="8" t="s">
        <v>15</v>
      </c>
      <c r="I13" s="130" t="s">
        <v>15</v>
      </c>
    </row>
    <row r="14" spans="1:9">
      <c r="B14" s="241" t="s">
        <v>16</v>
      </c>
      <c r="C14" s="209">
        <v>5962722</v>
      </c>
      <c r="D14" s="219">
        <f>C14-C13</f>
        <v>1291606</v>
      </c>
      <c r="E14" s="223">
        <f>C14/C13*100</f>
        <v>127.650908262608</v>
      </c>
      <c r="F14" s="244">
        <f>C14/$C$13*100</f>
        <v>127.650908262608</v>
      </c>
      <c r="G14" s="243">
        <v>171329970</v>
      </c>
      <c r="H14" s="130">
        <f>G14/G13*100</f>
        <v>75.8066460383589</v>
      </c>
      <c r="I14" s="130">
        <f>E14/H14</f>
        <v>1.68390127955292</v>
      </c>
    </row>
    <row r="15" spans="1:9">
      <c r="B15" s="241" t="s">
        <v>17</v>
      </c>
      <c r="C15" s="209">
        <v>6580177</v>
      </c>
      <c r="D15" s="219">
        <f t="shared" ref="D15:D21" si="0">C15-C14</f>
        <v>617455</v>
      </c>
      <c r="E15" s="223">
        <f t="shared" ref="E15:E21" si="1">C15/C14*100</f>
        <v>110.355253858892</v>
      </c>
      <c r="F15" s="244">
        <f t="shared" ref="F15:F21" si="2">C15/$C$13*100</f>
        <v>140.869483866382</v>
      </c>
      <c r="G15" s="243">
        <v>168083982</v>
      </c>
      <c r="H15" s="130">
        <f t="shared" ref="H15:H21" si="3">G15/G14*100</f>
        <v>98.105417283386</v>
      </c>
      <c r="I15" s="130">
        <f t="shared" ref="I15:I21" si="4">E15/H15</f>
        <v>1.12486401785664</v>
      </c>
    </row>
    <row r="16" spans="1:9">
      <c r="B16" s="241" t="s">
        <v>18</v>
      </c>
      <c r="C16" s="209">
        <v>11006383</v>
      </c>
      <c r="D16" s="219">
        <f t="shared" si="0"/>
        <v>4426206</v>
      </c>
      <c r="E16" s="223">
        <f t="shared" si="1"/>
        <v>167.265758960587</v>
      </c>
      <c r="F16" s="244">
        <f t="shared" si="2"/>
        <v>235.626411332966</v>
      </c>
      <c r="G16" s="243">
        <v>172119285</v>
      </c>
      <c r="H16" s="130">
        <f t="shared" si="3"/>
        <v>102.400765945681</v>
      </c>
      <c r="I16" s="130">
        <f t="shared" si="4"/>
        <v>1.63344245930069</v>
      </c>
    </row>
    <row r="17" spans="2:9">
      <c r="B17" s="241" t="s">
        <v>19</v>
      </c>
      <c r="C17" s="209">
        <v>11694536</v>
      </c>
      <c r="D17" s="219">
        <f t="shared" si="0"/>
        <v>688153</v>
      </c>
      <c r="E17" s="223">
        <f t="shared" si="1"/>
        <v>106.252308319636</v>
      </c>
      <c r="F17" s="244">
        <f t="shared" si="2"/>
        <v>250.358501051997</v>
      </c>
      <c r="G17" s="243">
        <v>156366419</v>
      </c>
      <c r="H17" s="130">
        <f t="shared" si="3"/>
        <v>90.8477042534775</v>
      </c>
      <c r="I17" s="130">
        <f t="shared" si="4"/>
        <v>1.16956514413592</v>
      </c>
    </row>
    <row r="18" spans="2:9">
      <c r="B18" s="241" t="s">
        <v>20</v>
      </c>
      <c r="C18" s="209">
        <v>4530042</v>
      </c>
      <c r="D18" s="219">
        <f t="shared" si="0"/>
        <v>-7164494</v>
      </c>
      <c r="E18" s="223">
        <f t="shared" si="1"/>
        <v>38.7363979212172</v>
      </c>
      <c r="F18" s="244">
        <f t="shared" si="2"/>
        <v>96.9798651970964</v>
      </c>
      <c r="G18" s="243">
        <v>162906927</v>
      </c>
      <c r="H18" s="130">
        <f t="shared" si="3"/>
        <v>104.182808586286</v>
      </c>
      <c r="I18" s="130">
        <f t="shared" si="4"/>
        <v>0.371811803183776</v>
      </c>
    </row>
    <row r="19" spans="2:9">
      <c r="B19" s="241" t="s">
        <v>21</v>
      </c>
      <c r="C19" s="209">
        <v>10268409</v>
      </c>
      <c r="D19" s="219">
        <f t="shared" si="0"/>
        <v>5738367</v>
      </c>
      <c r="E19" s="223">
        <f t="shared" si="1"/>
        <v>226.67359375476</v>
      </c>
      <c r="F19" s="244">
        <f t="shared" si="2"/>
        <v>219.82774566078</v>
      </c>
      <c r="G19" s="243">
        <v>178774552</v>
      </c>
      <c r="H19" s="130">
        <f t="shared" si="3"/>
        <v>109.740300975661</v>
      </c>
      <c r="I19" s="130">
        <f t="shared" si="4"/>
        <v>2.06554558115376</v>
      </c>
    </row>
    <row r="20" spans="2:9">
      <c r="B20" s="241" t="s">
        <v>22</v>
      </c>
      <c r="C20" s="209">
        <v>11094577</v>
      </c>
      <c r="D20" s="219">
        <f t="shared" si="0"/>
        <v>826168</v>
      </c>
      <c r="E20" s="223">
        <f t="shared" si="1"/>
        <v>108.045725486782</v>
      </c>
      <c r="F20" s="244">
        <f t="shared" si="2"/>
        <v>237.514482620427</v>
      </c>
      <c r="G20" s="243">
        <v>199250767</v>
      </c>
      <c r="H20" s="130">
        <f t="shared" si="3"/>
        <v>111.453651971674</v>
      </c>
      <c r="I20" s="130">
        <f t="shared" si="4"/>
        <v>0.969422926708956</v>
      </c>
    </row>
    <row r="21" spans="2:9">
      <c r="B21" s="245" t="s">
        <v>23</v>
      </c>
      <c r="C21" s="211">
        <v>9458631</v>
      </c>
      <c r="D21" s="226">
        <f t="shared" si="0"/>
        <v>-1635946</v>
      </c>
      <c r="E21" s="228">
        <f t="shared" si="1"/>
        <v>85.2545437288866</v>
      </c>
      <c r="F21" s="246">
        <f t="shared" si="2"/>
        <v>202.491888448071</v>
      </c>
      <c r="G21" s="247">
        <v>192639238</v>
      </c>
      <c r="H21" s="130">
        <f t="shared" si="3"/>
        <v>96.6818049940054</v>
      </c>
      <c r="I21" s="130">
        <f t="shared" si="4"/>
        <v>0.881805462094679</v>
      </c>
    </row>
    <row r="24" ht="52.8" spans="2:9">
      <c r="G24" s="248" t="s">
        <v>24</v>
      </c>
      <c r="H24" s="218" t="s">
        <v>25</v>
      </c>
    </row>
    <row r="25" spans="2:9">
      <c r="B25" s="249" t="s">
        <v>26</v>
      </c>
      <c r="C25" s="249"/>
      <c r="D25" s="249"/>
      <c r="E25" s="249"/>
      <c r="G25" s="250">
        <f>AVERAGE(C13:C21)</f>
        <v>8362954.77777778</v>
      </c>
      <c r="H25" s="251">
        <f>((C21/C13)^(1/8))*100</f>
        <v>109.219693594946</v>
      </c>
    </row>
    <row r="26" spans="2:9">
      <c r="B26" s="249"/>
      <c r="C26" s="249"/>
      <c r="D26" s="249"/>
      <c r="E26" s="249"/>
    </row>
    <row r="27" spans="2:9">
      <c r="B27" s="249"/>
      <c r="C27" s="249"/>
      <c r="D27" s="249"/>
      <c r="E27" s="249"/>
    </row>
    <row r="28" spans="2:9">
      <c r="B28" s="249"/>
      <c r="C28" s="249"/>
      <c r="D28" s="249"/>
      <c r="E28" s="249"/>
    </row>
    <row r="29" spans="2:9">
      <c r="B29" s="249"/>
      <c r="C29" s="249"/>
      <c r="D29" s="249"/>
      <c r="E29" s="249"/>
      <c r="G29" s="252"/>
    </row>
    <row r="30" spans="2:9">
      <c r="B30" s="249"/>
      <c r="C30" s="249"/>
      <c r="D30" s="249"/>
      <c r="E30" s="249"/>
    </row>
    <row r="31" spans="2:9">
      <c r="B31" s="249"/>
      <c r="C31" s="249"/>
      <c r="D31" s="249"/>
      <c r="E31" s="249"/>
    </row>
    <row r="32" ht="89" customHeight="1" spans="2:9">
      <c r="B32" s="249"/>
      <c r="C32" s="249"/>
      <c r="D32" s="249"/>
      <c r="E32" s="249"/>
    </row>
    <row r="36" spans="2:5">
      <c r="C36" s="253" t="s">
        <v>27</v>
      </c>
      <c r="D36" s="253"/>
    </row>
    <row r="37" spans="2:5">
      <c r="C37" s="253"/>
      <c r="D37" s="253"/>
    </row>
    <row r="40" ht="77" customHeight="1" spans="2:5">
      <c r="B40" s="254" t="s">
        <v>28</v>
      </c>
      <c r="C40" s="255" t="s">
        <v>11</v>
      </c>
      <c r="D40" s="255" t="s">
        <v>29</v>
      </c>
      <c r="E40" s="256" t="s">
        <v>30</v>
      </c>
    </row>
    <row r="41" spans="2:5">
      <c r="B41" s="241" t="s">
        <v>17</v>
      </c>
      <c r="C41" s="222">
        <v>14.4</v>
      </c>
      <c r="D41" s="209">
        <v>10</v>
      </c>
      <c r="E41" s="257">
        <f t="shared" ref="E41:E46" si="5">D41-C41</f>
        <v>-4.4</v>
      </c>
    </row>
    <row r="42" spans="2:5">
      <c r="B42" s="241" t="s">
        <v>18</v>
      </c>
      <c r="C42" s="222">
        <v>17.7</v>
      </c>
      <c r="D42" s="222">
        <v>8.2</v>
      </c>
      <c r="E42" s="257">
        <f t="shared" si="5"/>
        <v>-9.5</v>
      </c>
    </row>
    <row r="43" spans="2:5">
      <c r="B43" s="241" t="s">
        <v>19</v>
      </c>
      <c r="C43" s="209">
        <v>14</v>
      </c>
      <c r="D43" s="209">
        <v>2</v>
      </c>
      <c r="E43" s="257">
        <f t="shared" si="5"/>
        <v>-12</v>
      </c>
    </row>
    <row r="44" spans="2:5">
      <c r="B44" s="241" t="s">
        <v>20</v>
      </c>
      <c r="C44" s="209">
        <v>12</v>
      </c>
      <c r="D44" s="209">
        <v>23</v>
      </c>
      <c r="E44" s="257">
        <f t="shared" si="5"/>
        <v>11</v>
      </c>
    </row>
    <row r="45" spans="2:5">
      <c r="B45" s="241" t="s">
        <v>21</v>
      </c>
      <c r="C45" s="209">
        <v>15</v>
      </c>
      <c r="D45" s="209">
        <v>3</v>
      </c>
      <c r="E45" s="257">
        <f t="shared" si="5"/>
        <v>-12</v>
      </c>
    </row>
    <row r="46" spans="2:5">
      <c r="B46" s="245" t="s">
        <v>22</v>
      </c>
      <c r="C46" s="211">
        <v>17</v>
      </c>
      <c r="D46" s="211">
        <v>5</v>
      </c>
      <c r="E46" s="258">
        <f t="shared" si="5"/>
        <v>-12</v>
      </c>
    </row>
    <row r="50" spans="2:12">
      <c r="B50" s="249" t="s">
        <v>31</v>
      </c>
      <c r="C50" s="235"/>
      <c r="D50" s="235"/>
      <c r="E50" s="235"/>
      <c r="F50" s="235"/>
      <c r="G50" s="235"/>
      <c r="H50" s="235"/>
    </row>
    <row r="51" spans="2:12">
      <c r="B51" s="235"/>
      <c r="C51" s="235"/>
      <c r="D51" s="235"/>
      <c r="E51" s="235"/>
      <c r="F51" s="235"/>
      <c r="G51" s="235"/>
      <c r="H51" s="235"/>
    </row>
    <row r="52" spans="2:12">
      <c r="B52" s="235"/>
      <c r="C52" s="235"/>
      <c r="D52" s="235"/>
      <c r="E52" s="235"/>
      <c r="F52" s="235"/>
      <c r="G52" s="235"/>
      <c r="H52" s="235"/>
    </row>
    <row r="53" ht="26.4" spans="2:12">
      <c r="B53" s="235"/>
      <c r="C53" s="235"/>
      <c r="D53" s="235"/>
      <c r="E53" s="235"/>
      <c r="F53" s="235"/>
      <c r="G53" s="235"/>
      <c r="H53" s="235"/>
      <c r="J53" s="259" t="s">
        <v>32</v>
      </c>
      <c r="K53" s="138">
        <f>SQRT(((C72-C67)^2+(D72-D67)^2)/(C72^2+D72^2+C67^2+D67^2))</f>
        <v>0.0538381902058166</v>
      </c>
      <c r="L53" s="138"/>
    </row>
    <row r="54" spans="2:12">
      <c r="B54" s="235"/>
      <c r="C54" s="235"/>
      <c r="D54" s="235"/>
      <c r="E54" s="235"/>
      <c r="F54" s="235"/>
      <c r="G54" s="235"/>
      <c r="H54" s="235"/>
      <c r="J54" s="216" t="s">
        <v>33</v>
      </c>
      <c r="K54" s="216"/>
      <c r="L54" s="216"/>
    </row>
    <row r="55" spans="2:12">
      <c r="B55" s="235"/>
      <c r="C55" s="235"/>
      <c r="D55" s="235"/>
      <c r="E55" s="235"/>
      <c r="F55" s="235"/>
      <c r="G55" s="235"/>
      <c r="H55" s="235"/>
      <c r="J55" s="216"/>
      <c r="K55" s="216"/>
      <c r="L55" s="216"/>
    </row>
    <row r="56" spans="2:12">
      <c r="B56" s="235"/>
      <c r="C56" s="235"/>
      <c r="D56" s="235"/>
      <c r="E56" s="235"/>
      <c r="F56" s="235"/>
      <c r="G56" s="235"/>
      <c r="H56" s="235"/>
      <c r="J56" s="216"/>
      <c r="K56" s="216"/>
      <c r="L56" s="216"/>
    </row>
    <row r="57" spans="2:12">
      <c r="B57" s="235"/>
      <c r="C57" s="235"/>
      <c r="D57" s="235"/>
      <c r="E57" s="235"/>
      <c r="F57" s="235"/>
      <c r="G57" s="235"/>
      <c r="H57" s="235"/>
    </row>
    <row r="58" spans="2:12">
      <c r="B58" s="235"/>
      <c r="C58" s="235"/>
      <c r="D58" s="235"/>
      <c r="E58" s="235"/>
      <c r="F58" s="235"/>
      <c r="G58" s="235"/>
      <c r="H58" s="235"/>
    </row>
    <row r="59" spans="2:12">
      <c r="B59" s="235"/>
      <c r="C59" s="235"/>
      <c r="D59" s="235"/>
      <c r="E59" s="235"/>
      <c r="F59" s="235"/>
      <c r="G59" s="235"/>
      <c r="H59" s="235"/>
    </row>
    <row r="62" spans="2:12">
      <c r="B62" s="260" t="s">
        <v>34</v>
      </c>
      <c r="C62" s="260"/>
      <c r="D62" s="260"/>
    </row>
    <row r="63" ht="19" customHeight="1" spans="2:12">
      <c r="B63" s="260"/>
      <c r="C63" s="260"/>
      <c r="D63" s="260"/>
    </row>
    <row r="66" ht="39.6" spans="2:6">
      <c r="B66" s="254" t="s">
        <v>28</v>
      </c>
      <c r="C66" s="255" t="s">
        <v>35</v>
      </c>
      <c r="D66" s="261" t="s">
        <v>36</v>
      </c>
      <c r="E66" s="262" t="s">
        <v>37</v>
      </c>
    </row>
    <row r="67" spans="2:6">
      <c r="B67" s="241" t="s">
        <v>17</v>
      </c>
      <c r="C67" s="209">
        <v>10</v>
      </c>
      <c r="D67" s="263">
        <f t="shared" ref="D67:D72" si="6">100-C67</f>
        <v>90</v>
      </c>
      <c r="E67" s="264">
        <f t="shared" ref="E67:E72" si="7">D67-C67</f>
        <v>80</v>
      </c>
    </row>
    <row r="68" spans="2:6">
      <c r="B68" s="241" t="s">
        <v>18</v>
      </c>
      <c r="C68" s="222">
        <v>8.2</v>
      </c>
      <c r="D68" s="265">
        <f t="shared" si="6"/>
        <v>91.8</v>
      </c>
      <c r="E68" s="266">
        <f t="shared" si="7"/>
        <v>83.6</v>
      </c>
    </row>
    <row r="69" spans="2:6">
      <c r="B69" s="241" t="s">
        <v>19</v>
      </c>
      <c r="C69" s="209">
        <v>2</v>
      </c>
      <c r="D69" s="263">
        <f t="shared" si="6"/>
        <v>98</v>
      </c>
      <c r="E69" s="264">
        <f t="shared" si="7"/>
        <v>96</v>
      </c>
    </row>
    <row r="70" spans="2:6">
      <c r="B70" s="241" t="s">
        <v>20</v>
      </c>
      <c r="C70" s="209">
        <v>23</v>
      </c>
      <c r="D70" s="263">
        <f t="shared" si="6"/>
        <v>77</v>
      </c>
      <c r="E70" s="264">
        <f t="shared" si="7"/>
        <v>54</v>
      </c>
    </row>
    <row r="71" spans="2:6">
      <c r="B71" s="241" t="s">
        <v>21</v>
      </c>
      <c r="C71" s="209">
        <v>3</v>
      </c>
      <c r="D71" s="263">
        <f t="shared" si="6"/>
        <v>97</v>
      </c>
      <c r="E71" s="264">
        <f t="shared" si="7"/>
        <v>94</v>
      </c>
    </row>
    <row r="72" spans="2:6">
      <c r="B72" s="245" t="s">
        <v>22</v>
      </c>
      <c r="C72" s="211">
        <v>5</v>
      </c>
      <c r="D72" s="267">
        <f t="shared" si="6"/>
        <v>95</v>
      </c>
      <c r="E72" s="268">
        <f t="shared" si="7"/>
        <v>90</v>
      </c>
    </row>
    <row r="75" spans="2:6">
      <c r="B75" s="269"/>
      <c r="C75" s="269"/>
      <c r="D75" s="269"/>
      <c r="E75" s="269"/>
      <c r="F75" s="269"/>
    </row>
    <row r="76" spans="2:6">
      <c r="B76" s="269"/>
      <c r="C76" s="269"/>
      <c r="D76" s="269"/>
      <c r="E76" s="269"/>
      <c r="F76" s="269"/>
    </row>
    <row r="77" spans="2:6">
      <c r="B77" s="269"/>
      <c r="C77" s="269"/>
      <c r="D77" s="269"/>
      <c r="E77" s="269"/>
      <c r="F77" s="269"/>
    </row>
    <row r="78" spans="2:6">
      <c r="B78" s="269"/>
      <c r="C78" s="269"/>
      <c r="D78" s="269"/>
      <c r="E78" s="269"/>
      <c r="F78" s="269"/>
    </row>
    <row r="79" spans="2:6">
      <c r="B79" s="269"/>
      <c r="C79" s="269"/>
      <c r="D79" s="269"/>
      <c r="E79" s="269"/>
      <c r="F79" s="269"/>
    </row>
    <row r="80" spans="2:6">
      <c r="B80" s="269"/>
      <c r="C80" s="269"/>
      <c r="D80" s="269"/>
      <c r="E80" s="269"/>
      <c r="F80" s="269"/>
    </row>
  </sheetData>
  <mergeCells count="11">
    <mergeCell ref="B2:D2"/>
    <mergeCell ref="E2:G2"/>
    <mergeCell ref="B3:D3"/>
    <mergeCell ref="E3:G3"/>
    <mergeCell ref="A10:E10"/>
    <mergeCell ref="A6:E7"/>
    <mergeCell ref="B25:E32"/>
    <mergeCell ref="C36:D37"/>
    <mergeCell ref="B50:H59"/>
    <mergeCell ref="B62:D63"/>
    <mergeCell ref="J54:L56"/>
  </mergeCells>
  <pageMargins left="0.75" right="0.75" top="1" bottom="1" header="0.5" footer="0.5"/>
  <pageSetup paperSize="1" orientation="portrait" horizontalDpi="300" verticalDpi="300"/>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31"/>
  <sheetViews>
    <sheetView tabSelected="1" zoomScale="69" zoomScaleNormal="69" workbookViewId="0">
      <selection activeCell="G10" sqref="G10"/>
    </sheetView>
  </sheetViews>
  <sheetFormatPr defaultColWidth="8.88888888888889" defaultRowHeight="13.2"/>
  <cols>
    <col min="2" max="2" width="15.4444444444444"/>
    <col min="3" max="3" width="14.7777777777778" customWidth="1"/>
    <col min="4" max="4" width="16.7777777777778" customWidth="1"/>
    <col min="5" max="5" width="13.6666666666667" customWidth="1"/>
    <col min="6" max="6" width="11.2222222222222" customWidth="1"/>
    <col min="7" max="7" width="16.4259259259259" customWidth="1"/>
  </cols>
  <sheetData>
    <row r="2" spans="1:12">
      <c r="A2" s="124" t="s">
        <v>38</v>
      </c>
      <c r="B2" s="124"/>
      <c r="C2" s="124"/>
      <c r="D2" s="124"/>
      <c r="E2" s="124"/>
      <c r="F2" s="124"/>
    </row>
    <row r="3" spans="1:12">
      <c r="A3" s="124"/>
      <c r="B3" s="124"/>
      <c r="C3" s="124"/>
      <c r="D3" s="124"/>
      <c r="E3" s="124"/>
      <c r="F3" s="124"/>
    </row>
    <row r="8" ht="78" customHeight="1" spans="1:12">
      <c r="B8" s="206" t="s">
        <v>6</v>
      </c>
      <c r="C8" s="207" t="s">
        <v>39</v>
      </c>
      <c r="D8" s="207" t="s">
        <v>40</v>
      </c>
      <c r="E8" s="207" t="s">
        <v>41</v>
      </c>
      <c r="F8" s="207" t="s">
        <v>42</v>
      </c>
      <c r="G8" s="207" t="s">
        <v>43</v>
      </c>
      <c r="H8" s="207" t="s">
        <v>9</v>
      </c>
      <c r="I8" s="218" t="s">
        <v>44</v>
      </c>
      <c r="J8" s="129"/>
      <c r="K8" s="129"/>
      <c r="L8" s="129"/>
    </row>
    <row r="9" spans="1:12">
      <c r="B9" s="208">
        <v>2017</v>
      </c>
      <c r="C9" s="209">
        <v>12554577</v>
      </c>
      <c r="D9" s="209">
        <v>105</v>
      </c>
      <c r="E9" s="219">
        <f>C9/D9*100</f>
        <v>11956740</v>
      </c>
      <c r="F9" s="209">
        <v>7015000</v>
      </c>
      <c r="G9" s="220">
        <f>F9/C9*100</f>
        <v>55.8760362854121</v>
      </c>
      <c r="H9" s="220" t="s">
        <v>15</v>
      </c>
      <c r="I9" s="221" t="s">
        <v>15</v>
      </c>
    </row>
    <row r="10" spans="1:12">
      <c r="B10" s="208">
        <v>2018</v>
      </c>
      <c r="C10" s="209">
        <v>12031950</v>
      </c>
      <c r="D10" s="222">
        <v>105.1</v>
      </c>
      <c r="E10" s="219">
        <f t="shared" ref="E10:E16" si="0">C10/D10*100</f>
        <v>11448097.0504282</v>
      </c>
      <c r="F10" s="209">
        <v>4681000</v>
      </c>
      <c r="G10" s="220">
        <f>F10/C10*100</f>
        <v>38.9047494379548</v>
      </c>
      <c r="H10" s="220">
        <f>E10/E9*100</f>
        <v>95.7459729861832</v>
      </c>
      <c r="I10" s="223">
        <f>E10/$E$9*100</f>
        <v>95.7459729861832</v>
      </c>
    </row>
    <row r="11" spans="1:12">
      <c r="B11" s="208">
        <v>2019</v>
      </c>
      <c r="C11" s="209">
        <v>12680323</v>
      </c>
      <c r="D11" s="222">
        <v>105.2</v>
      </c>
      <c r="E11" s="219">
        <f t="shared" si="0"/>
        <v>12053538.973384</v>
      </c>
      <c r="F11" s="209">
        <v>5644000</v>
      </c>
      <c r="G11" s="220">
        <f t="shared" ref="G10:G16" si="1">F11/C11*100</f>
        <v>44.5099072003134</v>
      </c>
      <c r="H11" s="220">
        <f t="shared" ref="H11:H16" si="2">E11/E10*100</f>
        <v>105.288581327437</v>
      </c>
      <c r="I11" s="223">
        <f>E11/$E$9*100</f>
        <v>100.809576635304</v>
      </c>
    </row>
    <row r="12" spans="1:12">
      <c r="B12" s="208">
        <v>2020</v>
      </c>
      <c r="C12" s="209">
        <v>16974601</v>
      </c>
      <c r="D12" s="222">
        <v>105.1</v>
      </c>
      <c r="E12" s="219">
        <f t="shared" si="0"/>
        <v>16150904.8525214</v>
      </c>
      <c r="F12" s="209">
        <v>7630000</v>
      </c>
      <c r="G12" s="220">
        <f t="shared" si="1"/>
        <v>44.9495101534345</v>
      </c>
      <c r="H12" s="220">
        <f t="shared" si="2"/>
        <v>133.993052896622</v>
      </c>
      <c r="I12" s="223">
        <f>E12/$E$9*100</f>
        <v>135.077829345803</v>
      </c>
    </row>
    <row r="13" spans="1:12">
      <c r="B13" s="208">
        <v>2021</v>
      </c>
      <c r="C13" s="209">
        <v>21264557</v>
      </c>
      <c r="D13" s="222">
        <v>105.5</v>
      </c>
      <c r="E13" s="219">
        <f t="shared" si="0"/>
        <v>20155978.1990521</v>
      </c>
      <c r="F13" s="209">
        <v>9052000</v>
      </c>
      <c r="G13" s="220">
        <f t="shared" si="1"/>
        <v>42.5684861433981</v>
      </c>
      <c r="H13" s="220">
        <f t="shared" si="2"/>
        <v>124.797826394881</v>
      </c>
      <c r="I13" s="223">
        <f t="shared" ref="I11:I16" si="3">E13/$E$9*100</f>
        <v>168.57419496495</v>
      </c>
    </row>
    <row r="14" spans="1:12">
      <c r="B14" s="208">
        <v>2022</v>
      </c>
      <c r="C14" s="209">
        <v>36462493</v>
      </c>
      <c r="D14" s="222">
        <v>104.8</v>
      </c>
      <c r="E14" s="219">
        <f t="shared" si="0"/>
        <v>34792455.1526718</v>
      </c>
      <c r="F14" s="209">
        <v>4469000</v>
      </c>
      <c r="G14" s="220">
        <f t="shared" si="1"/>
        <v>12.2564301897843</v>
      </c>
      <c r="H14" s="220">
        <f t="shared" si="2"/>
        <v>172.616058665453</v>
      </c>
      <c r="I14" s="223">
        <f t="shared" si="3"/>
        <v>290.986131275513</v>
      </c>
    </row>
    <row r="15" spans="1:12">
      <c r="B15" s="208">
        <v>2023</v>
      </c>
      <c r="C15" s="209">
        <v>41977370</v>
      </c>
      <c r="D15" s="224">
        <f>AVERAGE(D9:D14)</f>
        <v>105.116666666667</v>
      </c>
      <c r="E15" s="219">
        <f t="shared" si="0"/>
        <v>39934076.423022</v>
      </c>
      <c r="F15" s="209">
        <v>9564000</v>
      </c>
      <c r="G15" s="220">
        <f t="shared" si="1"/>
        <v>22.7837046484808</v>
      </c>
      <c r="H15" s="220">
        <f t="shared" si="2"/>
        <v>114.777977718987</v>
      </c>
      <c r="I15" s="223">
        <f t="shared" si="3"/>
        <v>333.98799692075</v>
      </c>
    </row>
    <row r="16" spans="1:12">
      <c r="B16" s="210">
        <v>2024</v>
      </c>
      <c r="C16" s="211">
        <v>50984615</v>
      </c>
      <c r="D16" s="225">
        <f>AVERAGE(D10:D15)</f>
        <v>105.136111111111</v>
      </c>
      <c r="E16" s="226">
        <f t="shared" si="0"/>
        <v>48493913.7097413</v>
      </c>
      <c r="F16" s="211">
        <v>14162000</v>
      </c>
      <c r="G16" s="227">
        <f t="shared" si="1"/>
        <v>27.7770068480462</v>
      </c>
      <c r="H16" s="227">
        <f t="shared" si="2"/>
        <v>121.434919881569</v>
      </c>
      <c r="I16" s="228">
        <f t="shared" si="3"/>
        <v>405.578056474769</v>
      </c>
    </row>
    <row r="18" ht="39.6" spans="2:9">
      <c r="B18" s="229" t="s">
        <v>45</v>
      </c>
      <c r="C18" s="229" t="s">
        <v>46</v>
      </c>
    </row>
    <row r="19" spans="2:9">
      <c r="B19" s="230">
        <f>(C16/C9)^(1/7)*100</f>
        <v>122.165380320707</v>
      </c>
      <c r="C19" s="230">
        <f>B19-100</f>
        <v>22.165380320707</v>
      </c>
    </row>
    <row r="21" spans="2:9">
      <c r="B21" s="140" t="s">
        <v>47</v>
      </c>
      <c r="C21" s="231"/>
      <c r="D21" s="231"/>
      <c r="E21" s="231"/>
      <c r="F21" s="231"/>
      <c r="G21" s="231"/>
      <c r="H21" s="231"/>
      <c r="I21" s="231"/>
    </row>
    <row r="22" spans="2:9">
      <c r="B22" s="231"/>
      <c r="C22" s="231"/>
      <c r="D22" s="231"/>
      <c r="E22" s="231"/>
      <c r="F22" s="231"/>
      <c r="G22" s="231"/>
      <c r="H22" s="231"/>
      <c r="I22" s="231"/>
    </row>
    <row r="23" spans="2:9">
      <c r="B23" s="231"/>
      <c r="C23" s="231"/>
      <c r="D23" s="231"/>
      <c r="E23" s="231"/>
      <c r="F23" s="231"/>
      <c r="G23" s="231"/>
      <c r="H23" s="231"/>
      <c r="I23" s="231"/>
    </row>
    <row r="24" spans="2:9">
      <c r="B24" s="231"/>
      <c r="C24" s="231"/>
      <c r="D24" s="231"/>
      <c r="E24" s="231"/>
      <c r="F24" s="231"/>
      <c r="G24" s="231"/>
      <c r="H24" s="231"/>
      <c r="I24" s="231"/>
    </row>
    <row r="25" spans="2:9">
      <c r="B25" s="231"/>
      <c r="C25" s="231"/>
      <c r="D25" s="231"/>
      <c r="E25" s="231"/>
      <c r="F25" s="231"/>
      <c r="G25" s="231"/>
      <c r="H25" s="231"/>
      <c r="I25" s="231"/>
    </row>
    <row r="26" spans="2:9">
      <c r="B26" s="231"/>
      <c r="C26" s="231"/>
      <c r="D26" s="231"/>
      <c r="E26" s="231"/>
      <c r="F26" s="231"/>
      <c r="G26" s="231"/>
      <c r="H26" s="231"/>
      <c r="I26" s="231"/>
    </row>
    <row r="27" spans="2:9">
      <c r="B27" s="231"/>
      <c r="C27" s="231"/>
      <c r="D27" s="231"/>
      <c r="E27" s="231"/>
      <c r="F27" s="231"/>
      <c r="G27" s="231"/>
      <c r="H27" s="231"/>
      <c r="I27" s="231"/>
    </row>
    <row r="28" spans="2:9">
      <c r="B28" s="231"/>
      <c r="C28" s="231"/>
      <c r="D28" s="231"/>
      <c r="E28" s="231"/>
      <c r="F28" s="231"/>
      <c r="G28" s="231"/>
      <c r="H28" s="231"/>
      <c r="I28" s="231"/>
    </row>
    <row r="29" spans="2:9">
      <c r="B29" s="231"/>
      <c r="C29" s="231"/>
      <c r="D29" s="231"/>
      <c r="E29" s="231"/>
      <c r="F29" s="231"/>
      <c r="G29" s="231"/>
      <c r="H29" s="231"/>
      <c r="I29" s="231"/>
    </row>
    <row r="30" spans="2:9">
      <c r="B30" s="231"/>
      <c r="C30" s="231"/>
      <c r="D30" s="231"/>
      <c r="E30" s="231"/>
      <c r="F30" s="231"/>
      <c r="G30" s="231"/>
      <c r="H30" s="231"/>
      <c r="I30" s="231"/>
    </row>
    <row r="31" spans="2:9">
      <c r="B31" s="231"/>
      <c r="C31" s="231"/>
      <c r="D31" s="231"/>
      <c r="E31" s="231"/>
      <c r="F31" s="231"/>
      <c r="G31" s="231"/>
      <c r="H31" s="231"/>
      <c r="I31" s="231"/>
    </row>
  </sheetData>
  <mergeCells count="2">
    <mergeCell ref="A2:F3"/>
    <mergeCell ref="B21:I3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7"/>
  <sheetViews>
    <sheetView zoomScale="85" zoomScaleNormal="85" workbookViewId="0">
      <selection activeCell="F6" sqref="F6"/>
    </sheetView>
  </sheetViews>
  <sheetFormatPr defaultColWidth="8.88888888888889" defaultRowHeight="13.2"/>
  <cols>
    <col min="2" max="2" width="11.7777777777778"/>
    <col min="3" max="3" width="11.1111111111111" customWidth="1"/>
    <col min="4" max="4" width="16.2222222222222" customWidth="1"/>
    <col min="5" max="5" width="16.7777777777778" customWidth="1"/>
    <col min="6" max="6" width="12.8888888888889" customWidth="1"/>
    <col min="7" max="7" width="19.6666666666667" customWidth="1"/>
    <col min="8" max="8" width="18.3333333333333" customWidth="1"/>
    <col min="9" max="9" width="13.8888888888889" customWidth="1"/>
    <col min="10" max="10" width="16.6666666666667" customWidth="1"/>
    <col min="11" max="11" width="16" customWidth="1"/>
    <col min="12" max="12" width="16.5555555555556" customWidth="1"/>
  </cols>
  <sheetData>
    <row r="1" spans="1:19">
      <c r="A1" s="124" t="s">
        <v>48</v>
      </c>
      <c r="B1" s="124"/>
      <c r="C1" s="124"/>
      <c r="D1" s="124"/>
      <c r="E1" s="124"/>
      <c r="F1" s="124"/>
      <c r="G1" s="124"/>
      <c r="H1" s="124"/>
    </row>
    <row r="2" spans="1:19">
      <c r="A2" s="124"/>
      <c r="B2" s="124"/>
      <c r="C2" s="124"/>
      <c r="D2" s="124"/>
      <c r="E2" s="124"/>
      <c r="F2" s="124"/>
      <c r="G2" s="124"/>
      <c r="H2" s="124"/>
    </row>
    <row r="4" ht="66" spans="1:19">
      <c r="B4" s="206" t="s">
        <v>6</v>
      </c>
      <c r="C4" s="207" t="s">
        <v>39</v>
      </c>
      <c r="D4" s="126" t="s">
        <v>49</v>
      </c>
      <c r="E4" s="126" t="s">
        <v>50</v>
      </c>
      <c r="F4" s="126" t="s">
        <v>51</v>
      </c>
      <c r="G4" s="126" t="s">
        <v>52</v>
      </c>
      <c r="H4" s="126" t="s">
        <v>53</v>
      </c>
      <c r="I4" s="126" t="s">
        <v>54</v>
      </c>
      <c r="M4" s="129"/>
      <c r="N4" s="129"/>
      <c r="O4" s="129"/>
      <c r="P4" s="129"/>
      <c r="Q4" s="129"/>
      <c r="R4" s="129"/>
      <c r="S4" s="129"/>
    </row>
    <row r="5" spans="1:19">
      <c r="B5" s="208">
        <v>2017</v>
      </c>
      <c r="C5" s="209">
        <v>12554577</v>
      </c>
      <c r="D5" s="145">
        <v>25847</v>
      </c>
      <c r="E5" s="134">
        <v>28452301.5</v>
      </c>
      <c r="F5" s="130">
        <f>C5/D5</f>
        <v>485.726660734321</v>
      </c>
      <c r="G5" s="130">
        <f>C5/E5</f>
        <v>0.44124996355743</v>
      </c>
      <c r="H5" s="130">
        <f>1/G5</f>
        <v>2.26628913901281</v>
      </c>
      <c r="I5" s="130">
        <f>E5/D5</f>
        <v>1100.79705575115</v>
      </c>
    </row>
    <row r="6" spans="1:19">
      <c r="B6" s="208">
        <v>2018</v>
      </c>
      <c r="C6" s="209">
        <v>12031950</v>
      </c>
      <c r="D6" s="145">
        <v>24633</v>
      </c>
      <c r="E6" s="134">
        <v>34543077.7</v>
      </c>
      <c r="F6" s="130">
        <f t="shared" ref="F6:F12" si="0">C6/D6</f>
        <v>488.4484228474</v>
      </c>
      <c r="G6" s="130">
        <f>C6/E6</f>
        <v>0.348317254892432</v>
      </c>
      <c r="H6" s="130">
        <f t="shared" ref="H6:H12" si="1">1/G6</f>
        <v>2.87094591483509</v>
      </c>
      <c r="I6" s="130">
        <f>E6/D6</f>
        <v>1402.30900418138</v>
      </c>
    </row>
    <row r="7" spans="1:19">
      <c r="B7" s="208">
        <v>2019</v>
      </c>
      <c r="C7" s="209">
        <v>12680323</v>
      </c>
      <c r="D7" s="145">
        <v>23967</v>
      </c>
      <c r="E7" s="134">
        <v>30778104.1</v>
      </c>
      <c r="F7" s="130">
        <f t="shared" si="0"/>
        <v>529.074268786248</v>
      </c>
      <c r="G7" s="130">
        <f t="shared" ref="G6:G12" si="2">C7/E7</f>
        <v>0.411991685998619</v>
      </c>
      <c r="H7" s="130">
        <f t="shared" si="1"/>
        <v>2.42723344665589</v>
      </c>
      <c r="I7" s="130">
        <f t="shared" ref="I6:I12" si="3">E7/D7</f>
        <v>1284.18676096299</v>
      </c>
    </row>
    <row r="8" spans="1:19">
      <c r="B8" s="208">
        <v>2020</v>
      </c>
      <c r="C8" s="209">
        <v>16974601</v>
      </c>
      <c r="D8" s="145">
        <v>22459</v>
      </c>
      <c r="E8" s="134">
        <v>31897263.9</v>
      </c>
      <c r="F8" s="130">
        <f t="shared" si="0"/>
        <v>755.803953871499</v>
      </c>
      <c r="G8" s="130">
        <f t="shared" si="2"/>
        <v>0.532164797996984</v>
      </c>
      <c r="H8" s="130">
        <f t="shared" si="1"/>
        <v>1.87911715273897</v>
      </c>
      <c r="I8" s="130">
        <f t="shared" si="3"/>
        <v>1420.24417382786</v>
      </c>
    </row>
    <row r="9" spans="1:19">
      <c r="B9" s="208">
        <v>2021</v>
      </c>
      <c r="C9" s="209">
        <v>21264557</v>
      </c>
      <c r="D9" s="145">
        <v>22548</v>
      </c>
      <c r="E9" s="145">
        <v>40635649</v>
      </c>
      <c r="F9" s="130">
        <f t="shared" si="0"/>
        <v>943.079519247827</v>
      </c>
      <c r="G9" s="130">
        <f t="shared" si="2"/>
        <v>0.523298077508249</v>
      </c>
      <c r="H9" s="130">
        <f t="shared" si="1"/>
        <v>1.9109567624663</v>
      </c>
      <c r="I9" s="130">
        <f t="shared" si="3"/>
        <v>1802.1841848501</v>
      </c>
    </row>
    <row r="10" spans="1:19">
      <c r="B10" s="208">
        <v>2022</v>
      </c>
      <c r="C10" s="209">
        <v>36462493</v>
      </c>
      <c r="D10" s="145">
        <v>22501</v>
      </c>
      <c r="E10" s="134">
        <v>41796355.8</v>
      </c>
      <c r="F10" s="130">
        <f t="shared" si="0"/>
        <v>1620.48322296787</v>
      </c>
      <c r="G10" s="130">
        <f t="shared" si="2"/>
        <v>0.872384501043031</v>
      </c>
      <c r="H10" s="130">
        <f t="shared" si="1"/>
        <v>1.14628354676681</v>
      </c>
      <c r="I10" s="130">
        <f t="shared" si="3"/>
        <v>1857.53325629972</v>
      </c>
    </row>
    <row r="11" spans="1:19">
      <c r="B11" s="208">
        <v>2023</v>
      </c>
      <c r="C11" s="209">
        <v>41977370</v>
      </c>
      <c r="D11" s="145">
        <v>21864</v>
      </c>
      <c r="E11" s="134">
        <v>40556923.8</v>
      </c>
      <c r="F11" s="130">
        <f t="shared" si="0"/>
        <v>1919.9309366996</v>
      </c>
      <c r="G11" s="130">
        <f t="shared" si="2"/>
        <v>1.03502351921474</v>
      </c>
      <c r="H11" s="130">
        <f t="shared" si="1"/>
        <v>0.966161619939505</v>
      </c>
      <c r="I11" s="130">
        <f t="shared" si="3"/>
        <v>1854.96358397366</v>
      </c>
    </row>
    <row r="12" spans="1:19">
      <c r="B12" s="210">
        <v>2024</v>
      </c>
      <c r="C12" s="211">
        <v>50984615</v>
      </c>
      <c r="D12" s="145">
        <v>20035</v>
      </c>
      <c r="E12" s="134">
        <v>45147014.4</v>
      </c>
      <c r="F12" s="130">
        <f t="shared" si="0"/>
        <v>2544.77738956826</v>
      </c>
      <c r="G12" s="130">
        <f t="shared" si="2"/>
        <v>1.12930202977054</v>
      </c>
      <c r="H12" s="130">
        <f t="shared" si="1"/>
        <v>0.885502703119366</v>
      </c>
      <c r="I12" s="130">
        <f t="shared" si="3"/>
        <v>2253.40725729973</v>
      </c>
    </row>
    <row r="15" ht="26.4" spans="1:19">
      <c r="B15" s="133" t="s">
        <v>6</v>
      </c>
      <c r="C15" s="126" t="s">
        <v>55</v>
      </c>
      <c r="D15" s="126" t="s">
        <v>56</v>
      </c>
      <c r="E15" s="126" t="s">
        <v>57</v>
      </c>
      <c r="F15" s="129"/>
    </row>
    <row r="16" spans="1:19">
      <c r="B16" s="212">
        <v>2017</v>
      </c>
      <c r="C16" s="130">
        <v>100</v>
      </c>
      <c r="D16" s="130">
        <v>100</v>
      </c>
      <c r="E16" s="130">
        <v>100</v>
      </c>
    </row>
    <row r="17" spans="2:9">
      <c r="B17" s="212">
        <v>2018</v>
      </c>
      <c r="C17" s="130">
        <f>F6/F5*100</f>
        <v>100.560348511437</v>
      </c>
      <c r="D17" s="130">
        <f>G6/G5*100</f>
        <v>78.9387611693475</v>
      </c>
      <c r="E17" s="130">
        <f>H6/H5*100</f>
        <v>126.680478029633</v>
      </c>
    </row>
    <row r="18" spans="2:9">
      <c r="B18" s="212">
        <v>2019</v>
      </c>
      <c r="C18" s="130">
        <f t="shared" ref="C18:C23" si="4">F7/F6*100</f>
        <v>108.317325645566</v>
      </c>
      <c r="D18" s="130">
        <f t="shared" ref="D18:D23" si="5">G7/G6*100</f>
        <v>118.280584786375</v>
      </c>
      <c r="E18" s="130">
        <f t="shared" ref="E18:E23" si="6">H7/H6*100</f>
        <v>84.5447291122278</v>
      </c>
    </row>
    <row r="19" spans="2:9">
      <c r="B19" s="212">
        <v>2020</v>
      </c>
      <c r="C19" s="130">
        <f t="shared" si="4"/>
        <v>142.85403741244</v>
      </c>
      <c r="D19" s="130">
        <f t="shared" si="5"/>
        <v>129.168819683116</v>
      </c>
      <c r="E19" s="130">
        <f t="shared" si="6"/>
        <v>77.4180643945851</v>
      </c>
    </row>
    <row r="20" spans="2:9">
      <c r="B20" s="212">
        <v>2021</v>
      </c>
      <c r="C20" s="130">
        <f t="shared" si="4"/>
        <v>124.778325704309</v>
      </c>
      <c r="D20" s="130">
        <f t="shared" si="5"/>
        <v>98.3338393441076</v>
      </c>
      <c r="E20" s="130">
        <f t="shared" si="6"/>
        <v>101.694391947885</v>
      </c>
    </row>
    <row r="21" spans="2:9">
      <c r="B21" s="212">
        <v>2022</v>
      </c>
      <c r="C21" s="130">
        <f t="shared" si="4"/>
        <v>171.828906247515</v>
      </c>
      <c r="D21" s="130">
        <f t="shared" si="5"/>
        <v>166.708906173897</v>
      </c>
      <c r="E21" s="130">
        <f t="shared" si="6"/>
        <v>59.9847976302409</v>
      </c>
    </row>
    <row r="22" spans="2:9">
      <c r="B22" s="212">
        <v>2023</v>
      </c>
      <c r="C22" s="130">
        <f t="shared" si="4"/>
        <v>118.478914776007</v>
      </c>
      <c r="D22" s="130">
        <f t="shared" si="5"/>
        <v>118.643043059254</v>
      </c>
      <c r="E22" s="130">
        <f t="shared" si="6"/>
        <v>84.2864422737851</v>
      </c>
    </row>
    <row r="23" spans="2:9">
      <c r="B23" s="212">
        <v>2024</v>
      </c>
      <c r="C23" s="130">
        <f t="shared" si="4"/>
        <v>132.545256755057</v>
      </c>
      <c r="D23" s="130">
        <f t="shared" si="5"/>
        <v>109.108827848408</v>
      </c>
      <c r="E23" s="130">
        <f t="shared" si="6"/>
        <v>91.6516124056771</v>
      </c>
    </row>
    <row r="25" spans="2:9">
      <c r="D25" s="213" t="s">
        <v>58</v>
      </c>
      <c r="E25" s="213"/>
      <c r="F25" s="213"/>
    </row>
    <row r="26" spans="2:9">
      <c r="D26" s="213"/>
      <c r="E26" s="213"/>
      <c r="F26" s="213"/>
    </row>
    <row r="27" spans="2:9">
      <c r="B27" s="214" t="s">
        <v>59</v>
      </c>
      <c r="C27" s="214"/>
      <c r="D27" s="214"/>
      <c r="F27" s="214" t="s">
        <v>60</v>
      </c>
      <c r="G27" s="214"/>
      <c r="H27" s="214"/>
    </row>
    <row r="28" spans="2:9">
      <c r="B28" s="214"/>
      <c r="C28" s="214"/>
      <c r="D28" s="214"/>
      <c r="F28" s="214"/>
      <c r="G28" s="214"/>
      <c r="H28" s="214"/>
    </row>
    <row r="30" ht="52" customHeight="1" spans="2:9">
      <c r="B30" s="126" t="s">
        <v>61</v>
      </c>
      <c r="C30" s="126" t="s">
        <v>62</v>
      </c>
      <c r="D30" s="126" t="s">
        <v>63</v>
      </c>
      <c r="F30" s="126" t="s">
        <v>64</v>
      </c>
      <c r="G30" s="126" t="s">
        <v>65</v>
      </c>
      <c r="H30" s="129"/>
      <c r="I30" s="129"/>
    </row>
    <row r="31" spans="2:9">
      <c r="B31" s="8">
        <f>E12-E5</f>
        <v>16694712.9</v>
      </c>
      <c r="C31" s="8">
        <f>(C12-C5)*H5</f>
        <v>87093577.7312495</v>
      </c>
      <c r="D31" s="8">
        <f>(H12-H5)*C12</f>
        <v>-70398864.8312493</v>
      </c>
      <c r="F31" s="8">
        <f>(D12-D5)*I5</f>
        <v>-6397832.48802569</v>
      </c>
      <c r="G31" s="8">
        <f>(I12-I5)*D12</f>
        <v>23092545.3880257</v>
      </c>
    </row>
    <row r="32" spans="2:9">
      <c r="E32" s="215" t="s">
        <v>66</v>
      </c>
      <c r="F32" s="216"/>
    </row>
    <row r="33" spans="2:7">
      <c r="B33" s="138" t="s">
        <v>67</v>
      </c>
      <c r="E33" s="217" t="s">
        <v>68</v>
      </c>
      <c r="F33" s="217"/>
    </row>
    <row r="34" spans="2:7">
      <c r="B34" t="s">
        <v>69</v>
      </c>
      <c r="C34">
        <f>C31+D31</f>
        <v>16694712.9000002</v>
      </c>
      <c r="E34" s="216" t="s">
        <v>70</v>
      </c>
      <c r="F34" s="216"/>
    </row>
    <row r="35" spans="2:7">
      <c r="E35" s="215" t="s">
        <v>71</v>
      </c>
      <c r="F35" s="216"/>
    </row>
    <row r="37" spans="2:7">
      <c r="B37" s="140" t="s">
        <v>72</v>
      </c>
      <c r="C37" s="140"/>
      <c r="D37" s="140"/>
      <c r="E37" s="140"/>
      <c r="F37" s="140"/>
      <c r="G37" s="140"/>
    </row>
    <row r="38" spans="2:7">
      <c r="B38" s="140"/>
      <c r="C38" s="140"/>
      <c r="D38" s="140"/>
      <c r="E38" s="140"/>
      <c r="F38" s="140"/>
      <c r="G38" s="140"/>
    </row>
    <row r="39" spans="2:7">
      <c r="B39" s="140"/>
      <c r="C39" s="140"/>
      <c r="D39" s="140"/>
      <c r="E39" s="140"/>
      <c r="F39" s="140"/>
      <c r="G39" s="140"/>
    </row>
    <row r="40" spans="2:7">
      <c r="B40" s="140"/>
      <c r="C40" s="140"/>
      <c r="D40" s="140"/>
      <c r="E40" s="140"/>
      <c r="F40" s="140"/>
      <c r="G40" s="140"/>
    </row>
    <row r="41" spans="2:7">
      <c r="B41" s="140"/>
      <c r="C41" s="140"/>
      <c r="D41" s="140"/>
      <c r="E41" s="140"/>
      <c r="F41" s="140"/>
      <c r="G41" s="140"/>
    </row>
    <row r="42" spans="2:7">
      <c r="B42" s="140"/>
      <c r="C42" s="140"/>
      <c r="D42" s="140"/>
      <c r="E42" s="140"/>
      <c r="F42" s="140"/>
      <c r="G42" s="140"/>
    </row>
    <row r="43" spans="2:7">
      <c r="B43" s="140"/>
      <c r="C43" s="140"/>
      <c r="D43" s="140"/>
      <c r="E43" s="140"/>
      <c r="F43" s="140"/>
      <c r="G43" s="140"/>
    </row>
    <row r="44" spans="2:7">
      <c r="B44" s="140"/>
      <c r="C44" s="140"/>
      <c r="D44" s="140"/>
      <c r="E44" s="140"/>
      <c r="F44" s="140"/>
      <c r="G44" s="140"/>
    </row>
    <row r="45" spans="2:7">
      <c r="B45" s="140"/>
      <c r="C45" s="140"/>
      <c r="D45" s="140"/>
      <c r="E45" s="140"/>
      <c r="F45" s="140"/>
      <c r="G45" s="140"/>
    </row>
    <row r="46" spans="2:7">
      <c r="B46" s="140"/>
      <c r="C46" s="140"/>
      <c r="D46" s="140"/>
      <c r="E46" s="140"/>
      <c r="F46" s="140"/>
      <c r="G46" s="140"/>
    </row>
    <row r="47" spans="2:7">
      <c r="B47" s="140"/>
      <c r="C47" s="140"/>
      <c r="D47" s="140"/>
      <c r="E47" s="140"/>
      <c r="F47" s="140"/>
      <c r="G47" s="140"/>
    </row>
  </sheetData>
  <mergeCells count="9">
    <mergeCell ref="E32:F32"/>
    <mergeCell ref="E33:F33"/>
    <mergeCell ref="E34:F34"/>
    <mergeCell ref="E35:F35"/>
    <mergeCell ref="B27:D28"/>
    <mergeCell ref="F27:H28"/>
    <mergeCell ref="D25:F26"/>
    <mergeCell ref="B37:G47"/>
    <mergeCell ref="A1:H2"/>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0"/>
  <sheetViews>
    <sheetView zoomScale="55" zoomScaleNormal="55" topLeftCell="A42" workbookViewId="0">
      <selection activeCell="X103" sqref="X103"/>
    </sheetView>
  </sheetViews>
  <sheetFormatPr defaultColWidth="8.88888888888889" defaultRowHeight="13.2"/>
  <cols>
    <col min="2" max="2" width="13.4074074074074" customWidth="1"/>
    <col min="3" max="3" width="14.5925925925926" customWidth="1"/>
    <col min="4" max="4" width="20.1111111111111" customWidth="1"/>
    <col min="5" max="5" width="16.8518518518519" customWidth="1"/>
    <col min="6" max="6" width="17.6851851851852" customWidth="1"/>
    <col min="7" max="7" width="17.1296296296296" customWidth="1"/>
    <col min="8" max="8" width="19.3611111111111" customWidth="1"/>
    <col min="9" max="9" width="13.6388888888889" customWidth="1"/>
    <col min="10" max="10" width="13.5" customWidth="1"/>
    <col min="11" max="11" width="14.7777777777778" customWidth="1"/>
    <col min="12" max="12" width="22.8518518518519" customWidth="1"/>
    <col min="13" max="13" width="21.4444444444444"/>
    <col min="14" max="14" width="23.3333333333333"/>
    <col min="15" max="15" width="12.7777777777778"/>
    <col min="18" max="18" width="16.787037037037" customWidth="1"/>
    <col min="19" max="19" width="15.1111111111111" customWidth="1"/>
  </cols>
  <sheetData>
    <row r="1" ht="4" customHeight="1"/>
    <row r="2" spans="1:16">
      <c r="A2" s="142" t="s">
        <v>73</v>
      </c>
      <c r="B2" s="142"/>
      <c r="C2" s="142"/>
      <c r="D2" s="142"/>
      <c r="E2" s="142"/>
      <c r="F2" s="142"/>
      <c r="G2" s="142"/>
      <c r="H2" s="142"/>
    </row>
    <row r="3" ht="87" customHeight="1" spans="1:16">
      <c r="A3" s="142"/>
      <c r="B3" s="142"/>
      <c r="C3" s="142"/>
      <c r="D3" s="142"/>
      <c r="E3" s="142"/>
      <c r="F3" s="142"/>
      <c r="G3" s="142"/>
      <c r="H3" s="142"/>
      <c r="I3" s="129"/>
      <c r="J3" s="129"/>
    </row>
    <row r="4" spans="1:16">
      <c r="E4" s="4"/>
    </row>
    <row r="5" spans="1:16">
      <c r="E5" s="143"/>
    </row>
    <row r="6" ht="39.6" spans="1:16">
      <c r="B6" s="126" t="s">
        <v>74</v>
      </c>
      <c r="C6" s="126" t="s">
        <v>75</v>
      </c>
      <c r="D6" s="144" t="s">
        <v>76</v>
      </c>
      <c r="E6" s="126" t="s">
        <v>77</v>
      </c>
      <c r="F6" s="126" t="s">
        <v>78</v>
      </c>
      <c r="G6" s="126" t="s">
        <v>79</v>
      </c>
      <c r="H6" s="126" t="s">
        <v>80</v>
      </c>
      <c r="I6" s="126" t="s">
        <v>81</v>
      </c>
      <c r="J6" s="126" t="s">
        <v>82</v>
      </c>
      <c r="K6" s="126" t="s">
        <v>83</v>
      </c>
      <c r="L6" s="126" t="s">
        <v>84</v>
      </c>
      <c r="M6" s="129"/>
      <c r="N6" s="129"/>
      <c r="O6" s="129"/>
    </row>
    <row r="7" spans="1:16">
      <c r="B7" s="7" t="s">
        <v>14</v>
      </c>
      <c r="C7" s="145">
        <v>527933</v>
      </c>
      <c r="D7" s="145">
        <v>8565</v>
      </c>
      <c r="E7" s="146">
        <f>570.4*1000</f>
        <v>570400</v>
      </c>
      <c r="F7" s="147">
        <v>835286</v>
      </c>
      <c r="G7" s="130">
        <f>D7/E7*100</f>
        <v>1.5015778401122</v>
      </c>
      <c r="H7" s="130">
        <f>C7/F7*100</f>
        <v>63.2038607135759</v>
      </c>
      <c r="I7" s="148" t="s">
        <v>15</v>
      </c>
      <c r="J7" s="148" t="s">
        <v>15</v>
      </c>
      <c r="K7" s="130">
        <v>100</v>
      </c>
      <c r="L7" s="130">
        <v>100</v>
      </c>
      <c r="M7" s="131"/>
      <c r="N7" s="131"/>
      <c r="O7" s="131"/>
      <c r="P7" s="131"/>
    </row>
    <row r="8" spans="1:16">
      <c r="B8" s="7" t="s">
        <v>16</v>
      </c>
      <c r="C8" s="145">
        <v>509436</v>
      </c>
      <c r="D8" s="145">
        <v>8406</v>
      </c>
      <c r="E8" s="146">
        <f>550.2*1000</f>
        <v>550200</v>
      </c>
      <c r="F8" s="149">
        <v>819518</v>
      </c>
      <c r="G8" s="130">
        <f>D8/E8*100</f>
        <v>1.5278080697928</v>
      </c>
      <c r="H8" s="130">
        <f t="shared" ref="H8:H14" si="0">C8/F8*100</f>
        <v>62.1628811081636</v>
      </c>
      <c r="I8" s="148" t="s">
        <v>15</v>
      </c>
      <c r="J8" s="148" t="s">
        <v>15</v>
      </c>
      <c r="K8" s="130">
        <f>G8/G7*100</f>
        <v>101.746844484509</v>
      </c>
      <c r="L8" s="130">
        <f>H8/H7*100</f>
        <v>98.3529809830292</v>
      </c>
      <c r="M8" s="131"/>
      <c r="N8" s="131"/>
      <c r="O8" s="131"/>
      <c r="P8" s="131"/>
    </row>
    <row r="9" spans="1:16">
      <c r="B9" s="7" t="s">
        <v>17</v>
      </c>
      <c r="C9" s="145">
        <v>485703</v>
      </c>
      <c r="D9" s="145">
        <v>8392</v>
      </c>
      <c r="E9" s="146">
        <f>528.7*1000</f>
        <v>528700</v>
      </c>
      <c r="F9" s="150">
        <v>805482</v>
      </c>
      <c r="G9" s="130">
        <f t="shared" ref="G8:G14" si="1">D9/E9*100</f>
        <v>1.58728957821071</v>
      </c>
      <c r="H9" s="130">
        <f t="shared" si="0"/>
        <v>60.2996715010391</v>
      </c>
      <c r="I9" s="148" t="s">
        <v>15</v>
      </c>
      <c r="J9" s="148" t="s">
        <v>15</v>
      </c>
      <c r="K9" s="130">
        <f t="shared" ref="K9:K14" si="2">G9/G8*100</f>
        <v>103.893257902871</v>
      </c>
      <c r="L9" s="130">
        <f t="shared" ref="L9:L14" si="3">H9/H8*100</f>
        <v>97.0026974716914</v>
      </c>
      <c r="M9" s="131"/>
      <c r="N9" s="131"/>
      <c r="O9" s="131"/>
      <c r="P9" s="131"/>
    </row>
    <row r="10" spans="1:16">
      <c r="B10" s="7" t="s">
        <v>18</v>
      </c>
      <c r="C10" s="145">
        <v>469470</v>
      </c>
      <c r="D10" s="145">
        <v>22294</v>
      </c>
      <c r="E10" s="146">
        <f>510*1000</f>
        <v>510000</v>
      </c>
      <c r="F10" s="150">
        <v>793684</v>
      </c>
      <c r="G10" s="130">
        <f t="shared" si="1"/>
        <v>4.37137254901961</v>
      </c>
      <c r="H10" s="130">
        <f t="shared" si="0"/>
        <v>59.1507451328236</v>
      </c>
      <c r="I10" s="8">
        <v>3621</v>
      </c>
      <c r="J10" s="130">
        <v>100</v>
      </c>
      <c r="K10" s="130">
        <f t="shared" si="2"/>
        <v>275.398554178583</v>
      </c>
      <c r="L10" s="130">
        <f t="shared" si="3"/>
        <v>98.0946390923611</v>
      </c>
      <c r="M10" s="131"/>
      <c r="N10" s="131"/>
      <c r="O10" s="131"/>
      <c r="P10" s="131"/>
    </row>
    <row r="11" spans="1:16">
      <c r="B11" s="7" t="s">
        <v>19</v>
      </c>
      <c r="C11" s="145">
        <v>475189</v>
      </c>
      <c r="D11" s="145">
        <v>8765</v>
      </c>
      <c r="E11" s="146">
        <f>511.7*1000</f>
        <v>511700</v>
      </c>
      <c r="F11" s="150">
        <v>780733</v>
      </c>
      <c r="G11" s="130">
        <f t="shared" si="1"/>
        <v>1.71291772522963</v>
      </c>
      <c r="H11" s="130">
        <f t="shared" si="0"/>
        <v>60.8644696714498</v>
      </c>
      <c r="I11" s="8">
        <v>12708</v>
      </c>
      <c r="J11" s="130">
        <f>I11/I10*100</f>
        <v>350.952775476388</v>
      </c>
      <c r="K11" s="130">
        <f t="shared" si="2"/>
        <v>39.184894584512</v>
      </c>
      <c r="L11" s="130">
        <f t="shared" si="3"/>
        <v>102.89721547003</v>
      </c>
      <c r="M11" s="131"/>
      <c r="N11" s="131"/>
      <c r="O11" s="131"/>
      <c r="P11" s="131"/>
    </row>
    <row r="12" spans="1:16">
      <c r="B12" s="7" t="s">
        <v>20</v>
      </c>
      <c r="C12" s="145">
        <v>470050</v>
      </c>
      <c r="D12" s="145">
        <v>7070</v>
      </c>
      <c r="E12" s="146">
        <f>500*1000</f>
        <v>500000</v>
      </c>
      <c r="F12" s="150">
        <v>764169</v>
      </c>
      <c r="G12" s="130">
        <f t="shared" si="1"/>
        <v>1.414</v>
      </c>
      <c r="H12" s="130">
        <f t="shared" si="0"/>
        <v>61.5112625610303</v>
      </c>
      <c r="I12" s="8">
        <v>22010</v>
      </c>
      <c r="J12" s="130">
        <f>I12/I11*100</f>
        <v>173.197985520932</v>
      </c>
      <c r="K12" s="130">
        <f t="shared" si="2"/>
        <v>82.5492070735881</v>
      </c>
      <c r="L12" s="130">
        <f t="shared" si="3"/>
        <v>101.062677278011</v>
      </c>
      <c r="M12" s="131"/>
      <c r="N12" s="131"/>
      <c r="O12" s="131"/>
      <c r="P12" s="131"/>
    </row>
    <row r="13" spans="1:16">
      <c r="B13" s="7" t="s">
        <v>21</v>
      </c>
      <c r="C13" s="145">
        <v>460479</v>
      </c>
      <c r="D13" s="145">
        <v>5179</v>
      </c>
      <c r="E13" s="146">
        <f>486.9*1000</f>
        <v>486900</v>
      </c>
      <c r="F13" s="150">
        <v>755639</v>
      </c>
      <c r="G13" s="130">
        <f t="shared" si="1"/>
        <v>1.06366810433354</v>
      </c>
      <c r="H13" s="130">
        <f t="shared" si="0"/>
        <v>60.9390198229578</v>
      </c>
      <c r="I13" s="8">
        <v>33710</v>
      </c>
      <c r="J13" s="130">
        <f>I13/I12*100</f>
        <v>153.157655611086</v>
      </c>
      <c r="K13" s="130">
        <f t="shared" si="2"/>
        <v>75.2240526402786</v>
      </c>
      <c r="L13" s="130">
        <f t="shared" si="3"/>
        <v>99.0696943710027</v>
      </c>
      <c r="M13" s="131"/>
      <c r="N13" s="131"/>
      <c r="O13" s="131"/>
      <c r="P13" s="131"/>
    </row>
    <row r="14" spans="1:16">
      <c r="B14" s="7" t="s">
        <v>22</v>
      </c>
      <c r="C14" s="145">
        <v>457186</v>
      </c>
      <c r="D14" s="145">
        <v>4013</v>
      </c>
      <c r="E14" s="146">
        <f>478.7*1000</f>
        <v>478700</v>
      </c>
      <c r="F14" s="151">
        <v>750692</v>
      </c>
      <c r="G14" s="152">
        <f t="shared" si="1"/>
        <v>0.83831209525799</v>
      </c>
      <c r="H14" s="130">
        <f t="shared" si="0"/>
        <v>60.901941142306</v>
      </c>
      <c r="I14" s="8">
        <v>46813</v>
      </c>
      <c r="J14" s="130">
        <f>I14/I13*100</f>
        <v>138.869771581133</v>
      </c>
      <c r="K14" s="130">
        <f t="shared" si="2"/>
        <v>78.8133151537199</v>
      </c>
      <c r="L14" s="130">
        <f t="shared" si="3"/>
        <v>99.9391544518447</v>
      </c>
      <c r="M14" s="131"/>
      <c r="N14" s="131"/>
      <c r="O14" s="131"/>
      <c r="P14" s="131"/>
    </row>
    <row r="15" spans="1:16">
      <c r="B15" s="153"/>
      <c r="C15" s="154"/>
      <c r="D15" s="154"/>
      <c r="F15" s="155"/>
      <c r="G15" s="156"/>
      <c r="I15" s="157" t="s">
        <v>85</v>
      </c>
      <c r="J15" s="157"/>
      <c r="K15" s="157"/>
      <c r="L15" s="157"/>
    </row>
    <row r="16" spans="1:16">
      <c r="F16" s="156"/>
      <c r="G16" s="156"/>
      <c r="I16" s="157"/>
      <c r="J16" s="157"/>
      <c r="K16" s="157"/>
      <c r="L16" s="157"/>
    </row>
    <row r="17" ht="66" spans="2:12">
      <c r="B17" s="126" t="s">
        <v>74</v>
      </c>
      <c r="C17" s="126" t="s">
        <v>86</v>
      </c>
      <c r="D17" s="158" t="s">
        <v>87</v>
      </c>
      <c r="E17" s="129"/>
      <c r="F17" s="159" t="s">
        <v>88</v>
      </c>
      <c r="G17" s="159" t="s">
        <v>89</v>
      </c>
      <c r="H17" s="160" cm="1">
        <f t="array" ref="H17">CORREL(C18:C25,D18:D25)</f>
        <v>-0.315962036271105</v>
      </c>
      <c r="I17" s="157"/>
      <c r="J17" s="157"/>
      <c r="K17" s="157"/>
      <c r="L17" s="157"/>
    </row>
    <row r="18" spans="2:12">
      <c r="B18" s="7" t="s">
        <v>14</v>
      </c>
      <c r="C18" s="134">
        <v>42949.7</v>
      </c>
      <c r="D18" s="130">
        <v>63.2038607135759</v>
      </c>
      <c r="F18" s="161" t="s">
        <v>90</v>
      </c>
      <c r="G18" s="161"/>
      <c r="H18" s="161"/>
      <c r="I18" s="157"/>
      <c r="J18" s="157"/>
      <c r="K18" s="157"/>
      <c r="L18" s="157"/>
    </row>
    <row r="19" spans="2:12">
      <c r="B19" s="7" t="s">
        <v>16</v>
      </c>
      <c r="C19" s="134">
        <v>48306.6</v>
      </c>
      <c r="D19" s="130">
        <v>62.1628811081636</v>
      </c>
      <c r="F19" s="161"/>
      <c r="G19" s="161"/>
      <c r="H19" s="161"/>
    </row>
    <row r="20" spans="2:12">
      <c r="B20" s="7" t="s">
        <v>17</v>
      </c>
      <c r="C20" s="134">
        <v>52434.2</v>
      </c>
      <c r="D20" s="130">
        <v>60.2996715010391</v>
      </c>
      <c r="F20" s="161"/>
      <c r="G20" s="161"/>
      <c r="H20" s="161"/>
    </row>
    <row r="21" spans="2:12">
      <c r="B21" s="7" t="s">
        <v>18</v>
      </c>
      <c r="C21" s="134">
        <v>55890.8</v>
      </c>
      <c r="D21" s="130">
        <v>59.1507451328236</v>
      </c>
    </row>
    <row r="22" spans="2:12">
      <c r="B22" s="7" t="s">
        <v>19</v>
      </c>
      <c r="C22" s="134">
        <v>60884.8</v>
      </c>
      <c r="D22" s="130">
        <v>60.8644696714498</v>
      </c>
    </row>
    <row r="23" spans="2:12">
      <c r="B23" s="7" t="s">
        <v>20</v>
      </c>
      <c r="C23" s="134">
        <v>67834.8</v>
      </c>
      <c r="D23" s="130">
        <v>61.5112625610303</v>
      </c>
    </row>
    <row r="24" spans="2:12">
      <c r="B24" s="7" t="s">
        <v>21</v>
      </c>
      <c r="C24" s="134">
        <v>76367.9</v>
      </c>
      <c r="D24" s="130">
        <v>60.9390198229578</v>
      </c>
    </row>
    <row r="25" spans="2:12">
      <c r="B25" s="7" t="s">
        <v>22</v>
      </c>
      <c r="C25" s="134">
        <v>86404.1</v>
      </c>
      <c r="D25" s="130">
        <v>60.901941142306</v>
      </c>
    </row>
    <row r="27" spans="2:12">
      <c r="B27" s="162" t="s">
        <v>91</v>
      </c>
      <c r="C27" s="162"/>
      <c r="D27" s="162"/>
      <c r="E27" s="162"/>
      <c r="F27" s="162"/>
    </row>
    <row r="28" spans="2:12">
      <c r="B28" s="162"/>
      <c r="C28" s="162"/>
      <c r="D28" s="162"/>
      <c r="E28" s="162"/>
      <c r="F28" s="162"/>
    </row>
    <row r="29" spans="2:12">
      <c r="B29" s="162"/>
      <c r="C29" s="162"/>
      <c r="D29" s="162"/>
      <c r="E29" s="162"/>
      <c r="F29" s="162"/>
    </row>
    <row r="30" spans="2:12">
      <c r="B30" s="162"/>
      <c r="C30" s="162"/>
      <c r="D30" s="162"/>
      <c r="E30" s="162"/>
      <c r="F30" s="162"/>
    </row>
    <row r="31" spans="2:12">
      <c r="B31" s="162"/>
      <c r="C31" s="162"/>
      <c r="D31" s="162"/>
      <c r="E31" s="162"/>
      <c r="F31" s="162"/>
    </row>
    <row r="32" spans="2:12">
      <c r="B32" s="162"/>
      <c r="C32" s="162"/>
      <c r="D32" s="162"/>
      <c r="E32" s="162"/>
      <c r="F32" s="162"/>
    </row>
    <row r="33" ht="15" customHeight="1" spans="2:16">
      <c r="B33" s="162"/>
      <c r="C33" s="162"/>
      <c r="D33" s="162"/>
      <c r="E33" s="162"/>
      <c r="F33" s="162"/>
    </row>
    <row r="34" ht="119" customHeight="1" spans="2:16">
      <c r="B34" s="162"/>
      <c r="C34" s="162"/>
      <c r="D34" s="162"/>
      <c r="E34" s="162"/>
      <c r="F34" s="162"/>
    </row>
    <row r="36" spans="2:16">
      <c r="J36" s="163" t="s">
        <v>92</v>
      </c>
      <c r="K36" s="163"/>
      <c r="L36" s="163"/>
      <c r="M36" s="163"/>
      <c r="N36" s="163"/>
      <c r="O36" s="163"/>
      <c r="P36" s="163"/>
    </row>
    <row r="37" ht="26.4" spans="2:16">
      <c r="B37" s="126" t="s">
        <v>74</v>
      </c>
      <c r="C37" s="126" t="s">
        <v>93</v>
      </c>
      <c r="D37" s="158" t="s">
        <v>94</v>
      </c>
      <c r="E37" s="126" t="s">
        <v>95</v>
      </c>
      <c r="F37" s="133" t="s">
        <v>96</v>
      </c>
      <c r="G37" s="133" t="s">
        <v>97</v>
      </c>
      <c r="H37" s="133" t="s">
        <v>98</v>
      </c>
      <c r="J37" s="163"/>
      <c r="K37" s="163"/>
      <c r="L37" s="163"/>
      <c r="M37" s="163"/>
      <c r="N37" s="163"/>
      <c r="O37" s="163"/>
      <c r="P37" s="163"/>
    </row>
    <row r="38" ht="20.4" spans="2:16">
      <c r="B38" s="7" t="s">
        <v>14</v>
      </c>
      <c r="C38" s="8">
        <v>-4</v>
      </c>
      <c r="D38" s="147">
        <v>835286</v>
      </c>
      <c r="E38" s="145">
        <v>527933</v>
      </c>
      <c r="F38" s="8">
        <f>D38*C38</f>
        <v>-3341144</v>
      </c>
      <c r="G38" s="8">
        <f>E38*C38</f>
        <v>-2111732</v>
      </c>
      <c r="H38" s="8">
        <f>C38*C38</f>
        <v>16</v>
      </c>
      <c r="J38" s="164" t="s">
        <v>99</v>
      </c>
      <c r="K38" s="164" t="s">
        <v>89</v>
      </c>
      <c r="L38" s="165">
        <f>D49</f>
        <v>788150.375</v>
      </c>
      <c r="M38" s="164" t="s">
        <v>15</v>
      </c>
      <c r="N38" s="164">
        <f>-E49</f>
        <v>10426.5</v>
      </c>
      <c r="O38" s="164" t="s">
        <v>100</v>
      </c>
      <c r="P38" s="164" t="s">
        <v>101</v>
      </c>
    </row>
    <row r="39" spans="2:16">
      <c r="B39" s="7" t="s">
        <v>16</v>
      </c>
      <c r="C39" s="8">
        <v>-3</v>
      </c>
      <c r="D39" s="149">
        <v>819518</v>
      </c>
      <c r="E39" s="145">
        <v>509436</v>
      </c>
      <c r="F39" s="8">
        <f t="shared" ref="F39:F45" si="4">D39*C39</f>
        <v>-2458554</v>
      </c>
      <c r="G39" s="8">
        <f t="shared" ref="G39:G45" si="5">E39*C39</f>
        <v>-1528308</v>
      </c>
      <c r="H39" s="8">
        <f t="shared" ref="H39:H45" si="6">C39*C39</f>
        <v>9</v>
      </c>
    </row>
    <row r="40" spans="2:16">
      <c r="B40" s="7" t="s">
        <v>17</v>
      </c>
      <c r="C40" s="8">
        <v>-2</v>
      </c>
      <c r="D40" s="150">
        <v>805482</v>
      </c>
      <c r="E40" s="145">
        <v>485703</v>
      </c>
      <c r="F40" s="8">
        <f t="shared" si="4"/>
        <v>-1610964</v>
      </c>
      <c r="G40" s="8">
        <f t="shared" si="5"/>
        <v>-971406</v>
      </c>
      <c r="H40" s="8">
        <f t="shared" si="6"/>
        <v>4</v>
      </c>
    </row>
    <row r="41" spans="2:16">
      <c r="B41" s="7" t="s">
        <v>18</v>
      </c>
      <c r="C41" s="8">
        <v>-1</v>
      </c>
      <c r="D41" s="150">
        <v>793684</v>
      </c>
      <c r="E41" s="145">
        <v>469470</v>
      </c>
      <c r="F41" s="8">
        <f t="shared" si="4"/>
        <v>-793684</v>
      </c>
      <c r="G41" s="8">
        <f t="shared" si="5"/>
        <v>-469470</v>
      </c>
      <c r="H41" s="8">
        <f t="shared" si="6"/>
        <v>1</v>
      </c>
      <c r="J41" s="163" t="s">
        <v>102</v>
      </c>
      <c r="K41" s="163"/>
      <c r="L41" s="163"/>
      <c r="M41" s="163"/>
      <c r="N41" s="163"/>
      <c r="O41" s="163"/>
      <c r="P41" s="163"/>
    </row>
    <row r="42" spans="2:16">
      <c r="B42" s="7" t="s">
        <v>19</v>
      </c>
      <c r="C42" s="8">
        <v>1</v>
      </c>
      <c r="D42" s="150">
        <v>780733</v>
      </c>
      <c r="E42" s="145">
        <v>475189</v>
      </c>
      <c r="F42" s="8">
        <f t="shared" si="4"/>
        <v>780733</v>
      </c>
      <c r="G42" s="8">
        <f t="shared" si="5"/>
        <v>475189</v>
      </c>
      <c r="H42" s="8">
        <f t="shared" si="6"/>
        <v>1</v>
      </c>
      <c r="J42" s="163"/>
      <c r="K42" s="163"/>
      <c r="L42" s="163"/>
      <c r="M42" s="163"/>
      <c r="N42" s="163"/>
      <c r="O42" s="163"/>
      <c r="P42" s="163"/>
    </row>
    <row r="43" ht="20.4" spans="2:16">
      <c r="B43" s="7" t="s">
        <v>20</v>
      </c>
      <c r="C43" s="8">
        <v>2</v>
      </c>
      <c r="D43" s="150">
        <v>764169</v>
      </c>
      <c r="E43" s="145">
        <v>470050</v>
      </c>
      <c r="F43" s="8">
        <f t="shared" si="4"/>
        <v>1528338</v>
      </c>
      <c r="G43" s="8">
        <f t="shared" si="5"/>
        <v>940100</v>
      </c>
      <c r="H43" s="8">
        <f t="shared" si="6"/>
        <v>4</v>
      </c>
      <c r="J43" s="164" t="s">
        <v>99</v>
      </c>
      <c r="K43" s="164" t="s">
        <v>89</v>
      </c>
      <c r="L43" s="165">
        <f>D50</f>
        <v>481930.75</v>
      </c>
      <c r="M43" s="164" t="s">
        <v>15</v>
      </c>
      <c r="N43" s="166">
        <f>-E50</f>
        <v>7590.76666666667</v>
      </c>
      <c r="O43" s="164" t="s">
        <v>100</v>
      </c>
      <c r="P43" s="164" t="s">
        <v>101</v>
      </c>
    </row>
    <row r="44" spans="2:16">
      <c r="B44" s="7" t="s">
        <v>21</v>
      </c>
      <c r="C44" s="8">
        <v>3</v>
      </c>
      <c r="D44" s="150">
        <v>755639</v>
      </c>
      <c r="E44" s="145">
        <v>460479</v>
      </c>
      <c r="F44" s="8">
        <f t="shared" si="4"/>
        <v>2266917</v>
      </c>
      <c r="G44" s="8">
        <f t="shared" si="5"/>
        <v>1381437</v>
      </c>
      <c r="H44" s="8">
        <f t="shared" si="6"/>
        <v>9</v>
      </c>
    </row>
    <row r="45" spans="2:16">
      <c r="B45" s="132" t="s">
        <v>22</v>
      </c>
      <c r="C45" s="167">
        <v>4</v>
      </c>
      <c r="D45" s="151">
        <v>750692</v>
      </c>
      <c r="E45" s="168">
        <v>457186</v>
      </c>
      <c r="F45" s="8">
        <f t="shared" si="4"/>
        <v>3002768</v>
      </c>
      <c r="G45" s="8">
        <f t="shared" si="5"/>
        <v>1828744</v>
      </c>
      <c r="H45" s="8">
        <f t="shared" si="6"/>
        <v>16</v>
      </c>
    </row>
    <row r="46" ht="17.4" spans="2:16">
      <c r="B46" s="133" t="s">
        <v>103</v>
      </c>
      <c r="C46" s="133">
        <f t="shared" ref="C46:H46" si="7">SUM(C38:C45)</f>
        <v>0</v>
      </c>
      <c r="D46" s="133">
        <f t="shared" si="7"/>
        <v>6305203</v>
      </c>
      <c r="E46" s="133">
        <f t="shared" si="7"/>
        <v>3855446</v>
      </c>
      <c r="F46" s="133">
        <f t="shared" si="7"/>
        <v>-625590</v>
      </c>
      <c r="G46" s="133">
        <f t="shared" si="7"/>
        <v>-455446</v>
      </c>
      <c r="H46" s="133">
        <f t="shared" si="7"/>
        <v>60</v>
      </c>
      <c r="J46" s="169" t="s">
        <v>104</v>
      </c>
      <c r="K46" s="169"/>
      <c r="L46" s="169"/>
      <c r="M46" s="138"/>
      <c r="N46" s="170">
        <f>D50+E50*5</f>
        <v>443976.916666667</v>
      </c>
      <c r="O46">
        <f>L38-N38*5</f>
        <v>736017.875</v>
      </c>
    </row>
    <row r="48" spans="2:16">
      <c r="C48" s="8"/>
      <c r="D48" s="8" t="s">
        <v>105</v>
      </c>
      <c r="E48" s="8" t="s">
        <v>106</v>
      </c>
    </row>
    <row r="49" spans="2:12">
      <c r="C49" s="8" t="s">
        <v>107</v>
      </c>
      <c r="D49" s="8">
        <f>D46/8</f>
        <v>788150.375</v>
      </c>
      <c r="E49" s="8">
        <f>F46/H46</f>
        <v>-10426.5</v>
      </c>
      <c r="G49" s="162" t="s">
        <v>108</v>
      </c>
      <c r="H49" s="171"/>
      <c r="I49" s="171"/>
      <c r="J49" s="171"/>
      <c r="K49" s="171"/>
      <c r="L49" s="171"/>
    </row>
    <row r="50" spans="2:12">
      <c r="C50" s="8" t="s">
        <v>109</v>
      </c>
      <c r="D50" s="8">
        <f>E46/8</f>
        <v>481930.75</v>
      </c>
      <c r="E50" s="8">
        <f>G46/H46</f>
        <v>-7590.76666666667</v>
      </c>
      <c r="G50" s="171"/>
      <c r="H50" s="171"/>
      <c r="I50" s="171"/>
      <c r="J50" s="171"/>
      <c r="K50" s="171"/>
      <c r="L50" s="171"/>
    </row>
    <row r="51" spans="2:12">
      <c r="G51" s="171"/>
      <c r="H51" s="171"/>
      <c r="I51" s="171"/>
      <c r="J51" s="171"/>
      <c r="K51" s="171"/>
      <c r="L51" s="171"/>
    </row>
    <row r="52" ht="39.6" spans="2:12">
      <c r="B52" s="126" t="s">
        <v>74</v>
      </c>
      <c r="C52" s="158" t="s">
        <v>110</v>
      </c>
      <c r="D52" s="126" t="s">
        <v>111</v>
      </c>
      <c r="E52" s="126" t="s">
        <v>112</v>
      </c>
      <c r="F52" s="126" t="s">
        <v>113</v>
      </c>
      <c r="G52" s="171"/>
      <c r="H52" s="171"/>
      <c r="I52" s="171"/>
      <c r="J52" s="171"/>
      <c r="K52" s="171"/>
      <c r="L52" s="171"/>
    </row>
    <row r="53" spans="2:12">
      <c r="B53" s="7" t="s">
        <v>14</v>
      </c>
      <c r="C53" s="172">
        <v>1165750</v>
      </c>
      <c r="D53" s="8">
        <f>$D$49+$E$49*C38</f>
        <v>829856.375</v>
      </c>
      <c r="E53" s="145">
        <v>527933</v>
      </c>
      <c r="F53" s="130">
        <f>$D$50+$E$50*C38</f>
        <v>512293.816666667</v>
      </c>
      <c r="G53" s="171"/>
      <c r="H53" s="171"/>
      <c r="I53" s="171"/>
      <c r="J53" s="171"/>
      <c r="K53" s="171"/>
      <c r="L53" s="171"/>
    </row>
    <row r="54" spans="2:12">
      <c r="B54" s="7" t="s">
        <v>16</v>
      </c>
      <c r="C54" s="172">
        <v>1155028</v>
      </c>
      <c r="D54" s="8">
        <f t="shared" ref="D54:D60" si="8">$D$49+$E$49*C39</f>
        <v>819429.875</v>
      </c>
      <c r="E54" s="145">
        <v>509436</v>
      </c>
      <c r="F54" s="130">
        <f t="shared" ref="F54:F60" si="9">$D$50+$E$50*C39</f>
        <v>504703.05</v>
      </c>
      <c r="G54" s="171"/>
      <c r="H54" s="171"/>
      <c r="I54" s="171"/>
      <c r="J54" s="171"/>
      <c r="K54" s="171"/>
      <c r="L54" s="171"/>
    </row>
    <row r="55" spans="2:12">
      <c r="B55" s="7" t="s">
        <v>17</v>
      </c>
      <c r="C55" s="130">
        <v>1144119</v>
      </c>
      <c r="D55" s="8">
        <f t="shared" si="8"/>
        <v>809003.375</v>
      </c>
      <c r="E55" s="145">
        <v>485703</v>
      </c>
      <c r="F55" s="130">
        <f t="shared" si="9"/>
        <v>497112.283333333</v>
      </c>
      <c r="G55" s="171"/>
      <c r="H55" s="171"/>
      <c r="I55" s="171"/>
      <c r="J55" s="171"/>
      <c r="K55" s="171"/>
      <c r="L55" s="171"/>
    </row>
    <row r="56" spans="2:12">
      <c r="B56" s="7" t="s">
        <v>18</v>
      </c>
      <c r="C56" s="130">
        <v>1136535</v>
      </c>
      <c r="D56" s="8">
        <f t="shared" si="8"/>
        <v>798576.875</v>
      </c>
      <c r="E56" s="145">
        <v>469470</v>
      </c>
      <c r="F56" s="130">
        <f t="shared" si="9"/>
        <v>489521.516666667</v>
      </c>
      <c r="G56" s="171"/>
      <c r="H56" s="171"/>
      <c r="I56" s="171"/>
      <c r="J56" s="171"/>
      <c r="K56" s="171"/>
      <c r="L56" s="171"/>
    </row>
    <row r="57" spans="2:12">
      <c r="B57" s="7" t="s">
        <v>19</v>
      </c>
      <c r="C57" s="130">
        <v>1020307</v>
      </c>
      <c r="D57" s="8">
        <f t="shared" si="8"/>
        <v>777723.875</v>
      </c>
      <c r="E57" s="145">
        <v>475189</v>
      </c>
      <c r="F57" s="130">
        <f t="shared" si="9"/>
        <v>474339.983333333</v>
      </c>
      <c r="G57" s="171"/>
      <c r="H57" s="171"/>
      <c r="I57" s="171"/>
      <c r="J57" s="171"/>
      <c r="K57" s="171"/>
      <c r="L57" s="171"/>
    </row>
    <row r="58" spans="2:12">
      <c r="B58" s="7" t="s">
        <v>20</v>
      </c>
      <c r="C58" s="130">
        <v>1016030</v>
      </c>
      <c r="D58" s="8">
        <f t="shared" si="8"/>
        <v>767297.375</v>
      </c>
      <c r="E58" s="145">
        <v>470050</v>
      </c>
      <c r="F58" s="130">
        <f t="shared" si="9"/>
        <v>466749.216666667</v>
      </c>
      <c r="G58" s="171"/>
      <c r="H58" s="171"/>
      <c r="I58" s="171"/>
      <c r="J58" s="171"/>
      <c r="K58" s="171"/>
      <c r="L58" s="171"/>
    </row>
    <row r="59" spans="2:12">
      <c r="B59" s="7" t="s">
        <v>21</v>
      </c>
      <c r="C59" s="130">
        <v>1005687</v>
      </c>
      <c r="D59" s="8">
        <f t="shared" si="8"/>
        <v>756870.875</v>
      </c>
      <c r="E59" s="145">
        <v>460479</v>
      </c>
      <c r="F59" s="130">
        <f t="shared" si="9"/>
        <v>459158.45</v>
      </c>
      <c r="G59" s="171"/>
      <c r="H59" s="171"/>
      <c r="I59" s="171"/>
      <c r="J59" s="171"/>
      <c r="K59" s="171"/>
      <c r="L59" s="171"/>
    </row>
    <row r="60" spans="2:12">
      <c r="B60" s="132" t="s">
        <v>22</v>
      </c>
      <c r="C60" s="130">
        <v>998072</v>
      </c>
      <c r="D60" s="8">
        <f t="shared" si="8"/>
        <v>746444.375</v>
      </c>
      <c r="E60" s="145">
        <v>457186</v>
      </c>
      <c r="F60" s="130">
        <f t="shared" si="9"/>
        <v>451567.683333333</v>
      </c>
    </row>
    <row r="63" spans="2:12">
      <c r="D63" s="173">
        <v>2024</v>
      </c>
      <c r="E63" s="173"/>
      <c r="F63" s="173"/>
    </row>
    <row r="64" ht="32.4" spans="2:12">
      <c r="B64" s="174" t="s">
        <v>114</v>
      </c>
      <c r="C64" s="174" t="s">
        <v>115</v>
      </c>
      <c r="D64" s="174" t="s">
        <v>116</v>
      </c>
      <c r="E64" s="175" t="s">
        <v>117</v>
      </c>
      <c r="F64" s="126" t="s">
        <v>118</v>
      </c>
      <c r="G64" s="175" t="s">
        <v>119</v>
      </c>
      <c r="H64" s="175" t="s">
        <v>120</v>
      </c>
    </row>
    <row r="65" ht="16.2" spans="2:28">
      <c r="B65" s="176" t="s">
        <v>121</v>
      </c>
      <c r="C65" s="177">
        <v>2.5</v>
      </c>
      <c r="D65" s="178">
        <v>52204</v>
      </c>
      <c r="E65" s="8">
        <f>D65*C65</f>
        <v>130510</v>
      </c>
      <c r="F65" s="8">
        <f>D65</f>
        <v>52204</v>
      </c>
      <c r="G65" s="130">
        <f>ABS(C65-$L$67)*D65</f>
        <v>2017416.6527465</v>
      </c>
      <c r="H65" s="8">
        <f>(C65-$L$67)*(C65-$L$67)*D65</f>
        <v>77962798.8425958</v>
      </c>
    </row>
    <row r="66" ht="26.4" spans="2:28">
      <c r="B66" s="176" t="s">
        <v>122</v>
      </c>
      <c r="C66" s="177">
        <v>7.5</v>
      </c>
      <c r="D66" s="178">
        <v>62503</v>
      </c>
      <c r="E66" s="8">
        <f t="shared" ref="E66:E85" si="10">D66*C66</f>
        <v>468772.5</v>
      </c>
      <c r="F66" s="8">
        <f>SUM(D65:D66)</f>
        <v>114707</v>
      </c>
      <c r="G66" s="130">
        <f t="shared" ref="G66:G84" si="11">ABS(C66-$L$67)*D66</f>
        <v>2102905.14111206</v>
      </c>
      <c r="H66" s="8">
        <f t="shared" ref="H66:H84" si="12">(C66-$L$67)*(C66-$L$67)*D66</f>
        <v>70751964.4259564</v>
      </c>
      <c r="K66" s="179" t="s">
        <v>123</v>
      </c>
      <c r="L66" s="180">
        <f>E107/D107</f>
        <v>39.2513409881315</v>
      </c>
      <c r="N66" s="181" t="s">
        <v>124</v>
      </c>
      <c r="O66" s="182" t="s">
        <v>125</v>
      </c>
    </row>
    <row r="67" ht="20.4" spans="2:28">
      <c r="B67" s="176" t="s">
        <v>126</v>
      </c>
      <c r="C67" s="177">
        <v>12.5</v>
      </c>
      <c r="D67" s="178">
        <v>62869</v>
      </c>
      <c r="E67" s="8">
        <f t="shared" si="10"/>
        <v>785862.5</v>
      </c>
      <c r="F67" s="8">
        <f>SUM(D65:D67)</f>
        <v>177576</v>
      </c>
      <c r="G67" s="130">
        <f t="shared" si="11"/>
        <v>1800874.16254539</v>
      </c>
      <c r="H67" s="8">
        <f t="shared" si="12"/>
        <v>51585801.4176073</v>
      </c>
      <c r="K67" s="179" t="s">
        <v>127</v>
      </c>
      <c r="L67" s="180">
        <f>E85/D85</f>
        <v>41.1448673041624</v>
      </c>
      <c r="N67" s="181" t="s">
        <v>128</v>
      </c>
      <c r="O67" s="183">
        <f>99-0</f>
        <v>99</v>
      </c>
    </row>
    <row r="68" ht="26.4" spans="2:28">
      <c r="B68" s="176" t="s">
        <v>129</v>
      </c>
      <c r="C68" s="177">
        <v>17.5</v>
      </c>
      <c r="D68" s="178">
        <v>56009</v>
      </c>
      <c r="E68" s="8">
        <f t="shared" si="10"/>
        <v>980157.5</v>
      </c>
      <c r="F68" s="8">
        <f>SUM(D65:D68)</f>
        <v>233585</v>
      </c>
      <c r="G68" s="130">
        <f t="shared" si="11"/>
        <v>1324325.37283883</v>
      </c>
      <c r="H68" s="8">
        <f t="shared" si="12"/>
        <v>31313497.7083096</v>
      </c>
      <c r="K68" s="184" t="s">
        <v>130</v>
      </c>
      <c r="L68" s="184"/>
      <c r="N68" s="181" t="s">
        <v>131</v>
      </c>
      <c r="O68" s="185">
        <f>G85/D85</f>
        <v>19.0424826213763</v>
      </c>
    </row>
    <row r="69" ht="43.2" spans="2:28">
      <c r="B69" s="176" t="s">
        <v>132</v>
      </c>
      <c r="C69" s="177">
        <v>22.5</v>
      </c>
      <c r="D69" s="178">
        <v>44166</v>
      </c>
      <c r="E69" s="8">
        <f t="shared" si="10"/>
        <v>993735</v>
      </c>
      <c r="F69" s="8">
        <f>SUM(D65:D69)</f>
        <v>277751</v>
      </c>
      <c r="G69" s="130">
        <f t="shared" si="11"/>
        <v>823469.209355638</v>
      </c>
      <c r="H69" s="8">
        <f t="shared" si="12"/>
        <v>15353474.1374994</v>
      </c>
      <c r="L69" s="131"/>
      <c r="N69" s="186" t="s">
        <v>133</v>
      </c>
      <c r="O69" s="187">
        <f>H85/D85</f>
        <v>511.263171320532</v>
      </c>
      <c r="U69" s="162" t="s">
        <v>134</v>
      </c>
      <c r="V69" s="162"/>
      <c r="W69" s="162"/>
      <c r="X69" s="162"/>
      <c r="Y69" s="162"/>
      <c r="Z69" s="162"/>
      <c r="AA69" s="162"/>
      <c r="AB69" s="162"/>
    </row>
    <row r="70" ht="26.4" spans="2:28">
      <c r="B70" s="176" t="s">
        <v>135</v>
      </c>
      <c r="C70" s="177">
        <v>27.5</v>
      </c>
      <c r="D70" s="178">
        <v>41010</v>
      </c>
      <c r="E70" s="8">
        <f t="shared" si="10"/>
        <v>1127775</v>
      </c>
      <c r="F70" s="8">
        <f>SUM(D65:D70)</f>
        <v>318761</v>
      </c>
      <c r="G70" s="130">
        <f t="shared" si="11"/>
        <v>559576.008143701</v>
      </c>
      <c r="H70" s="8">
        <f t="shared" si="12"/>
        <v>7635340.37771371</v>
      </c>
      <c r="N70" s="181" t="s">
        <v>136</v>
      </c>
      <c r="O70" s="187">
        <f>SQRT(O69)</f>
        <v>22.6111293685329</v>
      </c>
      <c r="U70" s="162"/>
      <c r="V70" s="162"/>
      <c r="W70" s="162"/>
      <c r="X70" s="162"/>
      <c r="Y70" s="162"/>
      <c r="Z70" s="162"/>
      <c r="AA70" s="162"/>
      <c r="AB70" s="162"/>
    </row>
    <row r="71" ht="16.2" spans="2:28">
      <c r="B71" s="176" t="s">
        <v>137</v>
      </c>
      <c r="C71" s="177">
        <v>32.5</v>
      </c>
      <c r="D71" s="178">
        <v>65051</v>
      </c>
      <c r="E71" s="8">
        <f t="shared" si="10"/>
        <v>2114157.5</v>
      </c>
      <c r="F71" s="8">
        <f>SUM(D65:D71)</f>
        <v>383812</v>
      </c>
      <c r="G71" s="130">
        <f t="shared" si="11"/>
        <v>562357.26300307</v>
      </c>
      <c r="H71" s="8">
        <f t="shared" si="12"/>
        <v>4861503.91619351</v>
      </c>
      <c r="U71" s="162"/>
      <c r="V71" s="162"/>
      <c r="W71" s="162"/>
      <c r="X71" s="162"/>
      <c r="Y71" s="162"/>
      <c r="Z71" s="162"/>
      <c r="AA71" s="162"/>
      <c r="AB71" s="162"/>
    </row>
    <row r="72" ht="20.4" spans="2:28">
      <c r="B72" s="176" t="s">
        <v>138</v>
      </c>
      <c r="C72" s="177">
        <v>37.5</v>
      </c>
      <c r="D72" s="178">
        <v>85589</v>
      </c>
      <c r="E72" s="8">
        <f t="shared" si="10"/>
        <v>3209587.5</v>
      </c>
      <c r="F72" s="8">
        <f>SUM(D65:D72)</f>
        <v>469401</v>
      </c>
      <c r="G72" s="130">
        <f t="shared" si="11"/>
        <v>311960.547695958</v>
      </c>
      <c r="H72" s="8">
        <f t="shared" si="12"/>
        <v>1137054.8004856</v>
      </c>
      <c r="K72" s="179" t="s">
        <v>139</v>
      </c>
      <c r="L72" s="180">
        <f>35+5*((D96-D95)/((D96-D97)+(D96-D95)))</f>
        <v>35.4673242909988</v>
      </c>
      <c r="U72" s="162"/>
      <c r="V72" s="162"/>
      <c r="W72" s="162"/>
      <c r="X72" s="162"/>
      <c r="Y72" s="162"/>
      <c r="Z72" s="162"/>
      <c r="AA72" s="162"/>
      <c r="AB72" s="162"/>
    </row>
    <row r="73" ht="20.4" spans="2:28">
      <c r="B73" s="176" t="s">
        <v>140</v>
      </c>
      <c r="C73" s="177">
        <v>42.5</v>
      </c>
      <c r="D73" s="178">
        <v>80703</v>
      </c>
      <c r="E73" s="8">
        <f t="shared" si="10"/>
        <v>3429877.5</v>
      </c>
      <c r="F73" s="133">
        <f>SUM(D65:D73)</f>
        <v>550104</v>
      </c>
      <c r="G73" s="130">
        <f t="shared" si="11"/>
        <v>109363.27395218</v>
      </c>
      <c r="H73" s="8">
        <f t="shared" si="12"/>
        <v>148201.748256441</v>
      </c>
      <c r="K73" s="179" t="s">
        <v>141</v>
      </c>
      <c r="L73" s="180">
        <f>35+5*((D72-D71)/((D72-D71)+(D72-D73)))</f>
        <v>39.0390969162996</v>
      </c>
      <c r="U73" s="162"/>
      <c r="V73" s="162"/>
      <c r="W73" s="162"/>
      <c r="X73" s="162"/>
      <c r="Y73" s="162"/>
      <c r="Z73" s="162"/>
      <c r="AA73" s="162"/>
      <c r="AB73" s="162"/>
    </row>
    <row r="74" ht="68" customHeight="1" spans="2:28">
      <c r="B74" s="176" t="s">
        <v>142</v>
      </c>
      <c r="C74" s="177">
        <v>47.5</v>
      </c>
      <c r="D74" s="178">
        <v>75266</v>
      </c>
      <c r="E74" s="8">
        <f t="shared" si="10"/>
        <v>3575135</v>
      </c>
      <c r="F74" s="8">
        <f>SUM(D65:D74)</f>
        <v>625370</v>
      </c>
      <c r="G74" s="130">
        <f t="shared" si="11"/>
        <v>478325.417484911</v>
      </c>
      <c r="H74" s="8">
        <f t="shared" si="12"/>
        <v>3039821.49990852</v>
      </c>
      <c r="K74" s="184" t="s">
        <v>143</v>
      </c>
      <c r="L74" s="184"/>
      <c r="N74" s="181" t="s">
        <v>144</v>
      </c>
      <c r="O74" s="182" t="s">
        <v>145</v>
      </c>
      <c r="U74" s="162"/>
      <c r="V74" s="162"/>
      <c r="W74" s="162"/>
      <c r="X74" s="162"/>
      <c r="Y74" s="162"/>
      <c r="Z74" s="162"/>
      <c r="AA74" s="162"/>
      <c r="AB74" s="162"/>
    </row>
    <row r="75" ht="32.4" spans="2:28">
      <c r="B75" s="176" t="s">
        <v>146</v>
      </c>
      <c r="C75" s="177">
        <v>52.5</v>
      </c>
      <c r="D75" s="178">
        <v>62294</v>
      </c>
      <c r="E75" s="8">
        <f t="shared" si="10"/>
        <v>3270435</v>
      </c>
      <c r="F75" s="8">
        <f>SUM(D65:D75)</f>
        <v>687664</v>
      </c>
      <c r="G75" s="130">
        <f t="shared" si="11"/>
        <v>707356.636154506</v>
      </c>
      <c r="H75" s="8">
        <f t="shared" si="12"/>
        <v>8032128.46681571</v>
      </c>
      <c r="N75" s="188" t="s">
        <v>147</v>
      </c>
      <c r="O75" s="187">
        <f>O70/L67*100</f>
        <v>54.9549211117409</v>
      </c>
    </row>
    <row r="76" ht="32.4" spans="2:28">
      <c r="B76" s="176" t="s">
        <v>148</v>
      </c>
      <c r="C76" s="177">
        <v>57.5</v>
      </c>
      <c r="D76" s="178">
        <v>62930</v>
      </c>
      <c r="E76" s="8">
        <f t="shared" si="10"/>
        <v>3618475</v>
      </c>
      <c r="F76" s="8">
        <f>SUM(D65:D76)</f>
        <v>750594</v>
      </c>
      <c r="G76" s="130">
        <f t="shared" si="11"/>
        <v>1029228.50054906</v>
      </c>
      <c r="H76" s="8">
        <f t="shared" si="12"/>
        <v>16833168.7008178</v>
      </c>
      <c r="N76" s="188" t="s">
        <v>149</v>
      </c>
      <c r="O76" s="185">
        <f>O67/L67*100</f>
        <v>240.613244097119</v>
      </c>
    </row>
    <row r="77" ht="48.6" spans="2:28">
      <c r="B77" s="176" t="s">
        <v>150</v>
      </c>
      <c r="C77" s="177">
        <v>62.5</v>
      </c>
      <c r="D77" s="178">
        <v>73567</v>
      </c>
      <c r="E77" s="8">
        <f t="shared" si="10"/>
        <v>4597937.5</v>
      </c>
      <c r="F77" s="8">
        <f>SUM(D65:D77)</f>
        <v>824161</v>
      </c>
      <c r="G77" s="130">
        <f t="shared" si="11"/>
        <v>1571033.04703468</v>
      </c>
      <c r="H77" s="8">
        <f t="shared" si="12"/>
        <v>33549619.1889717</v>
      </c>
      <c r="N77" s="188" t="s">
        <v>151</v>
      </c>
      <c r="O77" s="187">
        <f>O68/L67*100</f>
        <v>46.2815506989128</v>
      </c>
    </row>
    <row r="78" ht="16.2" spans="2:28">
      <c r="B78" s="176" t="s">
        <v>152</v>
      </c>
      <c r="C78" s="177">
        <v>67.5</v>
      </c>
      <c r="D78" s="178">
        <v>68752</v>
      </c>
      <c r="E78" s="8">
        <f t="shared" si="10"/>
        <v>4640760</v>
      </c>
      <c r="F78" s="8">
        <f>SUM(D65:D78)</f>
        <v>892913</v>
      </c>
      <c r="G78" s="130">
        <f t="shared" si="11"/>
        <v>1811968.08310422</v>
      </c>
      <c r="H78" s="8">
        <f t="shared" si="12"/>
        <v>47754659.2708343</v>
      </c>
    </row>
    <row r="79" ht="20.4" spans="2:28">
      <c r="B79" s="176" t="s">
        <v>153</v>
      </c>
      <c r="C79" s="177">
        <v>72.5</v>
      </c>
      <c r="D79" s="178">
        <v>51721</v>
      </c>
      <c r="E79" s="8">
        <f t="shared" si="10"/>
        <v>3749772.5</v>
      </c>
      <c r="F79" s="8">
        <f>SUM(D65:D79)</f>
        <v>944634</v>
      </c>
      <c r="G79" s="130">
        <f t="shared" si="11"/>
        <v>1621718.81816142</v>
      </c>
      <c r="H79" s="8">
        <f t="shared" si="12"/>
        <v>50849208.7387881</v>
      </c>
      <c r="K79" s="179" t="s">
        <v>154</v>
      </c>
      <c r="L79" s="180">
        <f>35+5*(((D107/2)-F95)/D96)</f>
        <v>40.5544263652909</v>
      </c>
    </row>
    <row r="80" ht="20.4" spans="2:28">
      <c r="B80" s="176" t="s">
        <v>155</v>
      </c>
      <c r="C80" s="177">
        <v>77.5</v>
      </c>
      <c r="D80" s="178">
        <v>21824</v>
      </c>
      <c r="E80" s="8">
        <f t="shared" si="10"/>
        <v>1691360</v>
      </c>
      <c r="F80" s="8">
        <f>SUM(D65:D80)</f>
        <v>966458</v>
      </c>
      <c r="G80" s="130">
        <f t="shared" si="11"/>
        <v>793414.415953959</v>
      </c>
      <c r="H80" s="8">
        <f t="shared" si="12"/>
        <v>28844686.3747967</v>
      </c>
      <c r="K80" s="179" t="s">
        <v>156</v>
      </c>
      <c r="L80" s="180">
        <f>40+5*(((D85/2)-F72)/D73)</f>
        <v>41.8360531826574</v>
      </c>
    </row>
    <row r="81" ht="20.4" spans="2:15">
      <c r="B81" s="176" t="s">
        <v>157</v>
      </c>
      <c r="C81" s="177">
        <v>82.5</v>
      </c>
      <c r="D81" s="178">
        <v>19751</v>
      </c>
      <c r="E81" s="8">
        <f t="shared" si="10"/>
        <v>1629457.5</v>
      </c>
      <c r="F81" s="8">
        <f>SUM(D65:D81)</f>
        <v>986209</v>
      </c>
      <c r="G81" s="130">
        <f t="shared" si="11"/>
        <v>816805.225875488</v>
      </c>
      <c r="H81" s="8">
        <f t="shared" si="12"/>
        <v>33779088.5027344</v>
      </c>
      <c r="K81" s="184" t="s">
        <v>158</v>
      </c>
      <c r="L81" s="184"/>
    </row>
    <row r="82" ht="52.2" spans="2:15">
      <c r="B82" s="176" t="s">
        <v>159</v>
      </c>
      <c r="C82" s="177">
        <v>87.5</v>
      </c>
      <c r="D82" s="178">
        <v>9306</v>
      </c>
      <c r="E82" s="8">
        <f t="shared" si="10"/>
        <v>814275</v>
      </c>
      <c r="F82" s="8">
        <f>SUM(D65:D82)</f>
        <v>995515</v>
      </c>
      <c r="G82" s="130">
        <f t="shared" si="11"/>
        <v>431380.864867464</v>
      </c>
      <c r="H82" s="8">
        <f t="shared" si="12"/>
        <v>19996717.2333765</v>
      </c>
      <c r="N82" s="189" t="s">
        <v>160</v>
      </c>
      <c r="O82" s="190">
        <f>O70/SQRT(D85)</f>
        <v>0.0226329580666178</v>
      </c>
    </row>
    <row r="83" ht="16.2" spans="2:15">
      <c r="B83" s="176" t="s">
        <v>161</v>
      </c>
      <c r="C83" s="177">
        <v>92.5</v>
      </c>
      <c r="D83" s="178">
        <v>2362</v>
      </c>
      <c r="E83" s="8">
        <f t="shared" si="10"/>
        <v>218485</v>
      </c>
      <c r="F83" s="8">
        <f>SUM(D65:D83)</f>
        <v>997877</v>
      </c>
      <c r="G83" s="130">
        <f t="shared" si="11"/>
        <v>121300.823427568</v>
      </c>
      <c r="H83" s="8">
        <f t="shared" si="12"/>
        <v>6229419.88323714</v>
      </c>
    </row>
    <row r="84" ht="16.2" spans="2:15">
      <c r="B84" s="176" t="s">
        <v>162</v>
      </c>
      <c r="C84" s="177">
        <v>97.5</v>
      </c>
      <c r="D84" s="178">
        <v>195</v>
      </c>
      <c r="E84" s="8">
        <f t="shared" si="10"/>
        <v>19012.5</v>
      </c>
      <c r="F84" s="8">
        <f>SUM(D65:D84)</f>
        <v>998072</v>
      </c>
      <c r="G84" s="130">
        <f t="shared" si="11"/>
        <v>10989.2508756883</v>
      </c>
      <c r="H84" s="8">
        <f t="shared" si="12"/>
        <v>619300.691327265</v>
      </c>
    </row>
    <row r="85" ht="30" spans="2:15">
      <c r="B85" s="176" t="s">
        <v>103</v>
      </c>
      <c r="C85" s="177" t="s">
        <v>163</v>
      </c>
      <c r="D85" s="178">
        <f>SUM(D65:D84)</f>
        <v>998072</v>
      </c>
      <c r="E85" s="8">
        <f>SUM(E65:E84)</f>
        <v>41065540</v>
      </c>
      <c r="F85" s="8"/>
      <c r="G85" s="8">
        <f>SUM(G65:G84)</f>
        <v>19005768.7148823</v>
      </c>
      <c r="H85" s="8">
        <f>SUM(H65:H84)</f>
        <v>510277455.926226</v>
      </c>
      <c r="J85" s="191"/>
      <c r="K85" s="192" t="s">
        <v>164</v>
      </c>
      <c r="L85" s="192" t="s">
        <v>165</v>
      </c>
      <c r="M85" s="192" t="s">
        <v>166</v>
      </c>
    </row>
    <row r="86" ht="30" spans="2:15">
      <c r="J86" s="193" t="s">
        <v>14</v>
      </c>
      <c r="K86" s="194">
        <f>35+5*(((D129/2)-F117)/D118)</f>
        <v>40.2190690844517</v>
      </c>
      <c r="L86" s="194">
        <f>E129/D129</f>
        <v>39.4521489526204</v>
      </c>
      <c r="M86" s="194">
        <f>30+5*((D117-D116)/((D117-D116)+(D117-D118)))</f>
        <v>33.5579752795762</v>
      </c>
    </row>
    <row r="87" ht="30" spans="2:15">
      <c r="C87" s="173">
        <v>2019</v>
      </c>
      <c r="D87" s="173"/>
      <c r="E87" s="173"/>
      <c r="F87" s="173"/>
      <c r="J87" s="193" t="s">
        <v>16</v>
      </c>
      <c r="K87" s="194">
        <f>40+5*(((K122/2)-M111)/K112)</f>
        <v>40.6691539877895</v>
      </c>
      <c r="L87" s="194">
        <f>L122/K122</f>
        <v>39.6755105887978</v>
      </c>
      <c r="M87" s="194">
        <f>30+5*((K110-K109)/((K110-K109)+(K110-K111)))</f>
        <v>34.1786419265693</v>
      </c>
    </row>
    <row r="88" ht="30" spans="2:15">
      <c r="B88" s="126" t="s">
        <v>114</v>
      </c>
      <c r="C88" s="126" t="s">
        <v>167</v>
      </c>
      <c r="D88" s="126" t="s">
        <v>116</v>
      </c>
      <c r="E88" s="175" t="s">
        <v>117</v>
      </c>
      <c r="F88" s="126" t="s">
        <v>118</v>
      </c>
      <c r="G88" s="175"/>
      <c r="H88" s="129"/>
      <c r="J88" s="193" t="s">
        <v>17</v>
      </c>
      <c r="K88" s="194">
        <f>35+5*(((D107/2)-F95)/D96)</f>
        <v>40.5544263652909</v>
      </c>
      <c r="L88" s="194">
        <f>E107/D107</f>
        <v>39.2513409881315</v>
      </c>
      <c r="M88" s="194">
        <f>35+5*((D96-D95)/((D96-D97)+(D96-D95)))</f>
        <v>35.4673242909988</v>
      </c>
    </row>
    <row r="89" ht="30" spans="2:15">
      <c r="B89" s="195" t="s">
        <v>121</v>
      </c>
      <c r="C89" s="148">
        <v>2.5</v>
      </c>
      <c r="D89" s="196">
        <v>66178</v>
      </c>
      <c r="E89" s="8">
        <f>D89*C89</f>
        <v>165445</v>
      </c>
      <c r="F89" s="8">
        <f>D89</f>
        <v>66178</v>
      </c>
      <c r="G89" s="8"/>
      <c r="J89" s="193" t="s">
        <v>18</v>
      </c>
      <c r="K89" s="194">
        <f>40+5*(((Q123/2)-S112)/Q113)</f>
        <v>41.4210643603117</v>
      </c>
      <c r="L89" s="194">
        <f>R123/Q123</f>
        <v>40.2067800719797</v>
      </c>
      <c r="M89" s="194">
        <f>35+5*((Q112-Q111)/((Q112-Q111)+(Q112-Q113)))</f>
        <v>36.4882858587561</v>
      </c>
    </row>
    <row r="90" ht="30" spans="2:15">
      <c r="B90" s="197" t="s">
        <v>168</v>
      </c>
      <c r="C90" s="148">
        <v>7.5</v>
      </c>
      <c r="D90" s="196">
        <v>72432</v>
      </c>
      <c r="E90" s="8">
        <f t="shared" ref="E90:E106" si="13">D90*C90</f>
        <v>543240</v>
      </c>
      <c r="F90" s="8">
        <f>SUM(D89:D90)</f>
        <v>138610</v>
      </c>
      <c r="G90" s="8"/>
      <c r="J90" s="193" t="s">
        <v>19</v>
      </c>
      <c r="K90" s="194">
        <f>40+5*(((K146/2)-M135)/K136)</f>
        <v>41.7604824987846</v>
      </c>
      <c r="L90" s="194">
        <f>L146/K146</f>
        <v>40.4133808954063</v>
      </c>
      <c r="M90" s="194">
        <f>35+5*((K135-K134)/((K135-K134)+(K135-K136)))</f>
        <v>37.8707026276189</v>
      </c>
    </row>
    <row r="91" ht="30" spans="2:15">
      <c r="B91" s="195" t="s">
        <v>126</v>
      </c>
      <c r="C91" s="148">
        <v>12.5</v>
      </c>
      <c r="D91" s="196">
        <v>65641</v>
      </c>
      <c r="E91" s="8">
        <f t="shared" si="13"/>
        <v>820512.5</v>
      </c>
      <c r="F91" s="8">
        <f>SUM(D89:D91)</f>
        <v>204251</v>
      </c>
      <c r="G91" s="8"/>
      <c r="J91" s="193" t="s">
        <v>20</v>
      </c>
      <c r="K91" s="194">
        <f>40+5*(((Q146/2)-S135)/Q136)</f>
        <v>41.9907241135894</v>
      </c>
      <c r="L91" s="194">
        <f>R146/Q146</f>
        <v>40.5461888772422</v>
      </c>
      <c r="M91" s="194">
        <f>35+5*((Q135-Q134)/((Q135-Q134)+(Q135-Q136)))</f>
        <v>38.4458588010991</v>
      </c>
    </row>
    <row r="92" ht="30" spans="2:15">
      <c r="B92" s="195" t="s">
        <v>129</v>
      </c>
      <c r="C92" s="148">
        <v>17.5</v>
      </c>
      <c r="D92" s="196">
        <v>56102</v>
      </c>
      <c r="E92" s="8">
        <f t="shared" si="13"/>
        <v>981785</v>
      </c>
      <c r="F92" s="8">
        <f>SUM(D89:D92)</f>
        <v>260353</v>
      </c>
      <c r="G92" s="198"/>
      <c r="H92" s="131"/>
      <c r="J92" s="193" t="s">
        <v>21</v>
      </c>
      <c r="K92" s="194">
        <f>40+5*(((K170/2)-M159)/K160)</f>
        <v>42.3382159497437</v>
      </c>
      <c r="L92" s="194">
        <f>L170/K170</f>
        <v>40.7173884411646</v>
      </c>
      <c r="M92" s="194">
        <f>35+5*((K159-K158)/((K159-K158)+(K159-K160)))</f>
        <v>39.0766004155396</v>
      </c>
    </row>
    <row r="93" ht="30" spans="2:15">
      <c r="B93" s="195" t="s">
        <v>132</v>
      </c>
      <c r="C93" s="199">
        <v>22.5</v>
      </c>
      <c r="D93" s="196">
        <v>53859</v>
      </c>
      <c r="E93" s="8">
        <f t="shared" si="13"/>
        <v>1211827.5</v>
      </c>
      <c r="F93" s="130">
        <f>SUM(D89:D93)</f>
        <v>314212</v>
      </c>
      <c r="G93" s="8"/>
      <c r="J93" s="193" t="s">
        <v>22</v>
      </c>
      <c r="K93" s="194">
        <f>40+5*(((D85/2)-F72)/D73)</f>
        <v>41.8360531826574</v>
      </c>
      <c r="L93" s="194">
        <f>E85/D85</f>
        <v>41.1448673041624</v>
      </c>
      <c r="M93" s="194">
        <f>35+5*((D72-D71)/((D72-D71)+(D72-D73)))</f>
        <v>39.0390969162996</v>
      </c>
    </row>
    <row r="94" spans="2:15">
      <c r="B94" s="195" t="s">
        <v>135</v>
      </c>
      <c r="C94" s="199">
        <v>27.5</v>
      </c>
      <c r="D94" s="196">
        <v>64538</v>
      </c>
      <c r="E94" s="8">
        <f t="shared" si="13"/>
        <v>1774795</v>
      </c>
      <c r="F94" s="8">
        <f>SUM(D89:D94)</f>
        <v>378750</v>
      </c>
      <c r="G94" s="8"/>
    </row>
    <row r="95" spans="2:15">
      <c r="B95" s="195" t="s">
        <v>137</v>
      </c>
      <c r="C95" s="199">
        <v>32.5</v>
      </c>
      <c r="D95" s="196">
        <v>91378</v>
      </c>
      <c r="E95" s="8">
        <f t="shared" si="13"/>
        <v>2969785</v>
      </c>
      <c r="F95" s="8">
        <f>SUM(D89:D95)</f>
        <v>470128</v>
      </c>
      <c r="G95" s="8"/>
      <c r="M95" s="200"/>
    </row>
    <row r="96" spans="2:15">
      <c r="B96" s="195" t="s">
        <v>138</v>
      </c>
      <c r="C96" s="199">
        <v>37.5</v>
      </c>
      <c r="D96" s="196">
        <v>91757</v>
      </c>
      <c r="E96" s="8">
        <f t="shared" si="13"/>
        <v>3440887.5</v>
      </c>
      <c r="F96" s="133">
        <f>SUM(D89:D96)</f>
        <v>561885</v>
      </c>
      <c r="G96" s="8"/>
    </row>
    <row r="97" spans="2:19">
      <c r="B97" s="195" t="s">
        <v>140</v>
      </c>
      <c r="C97" s="199">
        <v>42.5</v>
      </c>
      <c r="D97" s="196">
        <v>88081</v>
      </c>
      <c r="E97" s="8">
        <f t="shared" si="13"/>
        <v>3743442.5</v>
      </c>
      <c r="F97" s="8">
        <f>SUM(D89:D97)</f>
        <v>649966</v>
      </c>
      <c r="G97" s="8"/>
    </row>
    <row r="98" spans="2:19">
      <c r="B98" s="195" t="s">
        <v>142</v>
      </c>
      <c r="C98" s="199">
        <v>47.5</v>
      </c>
      <c r="D98" s="196">
        <v>74671</v>
      </c>
      <c r="E98" s="8">
        <f t="shared" si="13"/>
        <v>3546872.5</v>
      </c>
      <c r="F98" s="8">
        <f>SUM(D89:D98)</f>
        <v>724637</v>
      </c>
      <c r="G98" s="8"/>
    </row>
    <row r="99" spans="2:19">
      <c r="B99" s="195" t="s">
        <v>146</v>
      </c>
      <c r="C99" s="199">
        <v>52.5</v>
      </c>
      <c r="D99" s="196">
        <v>71664</v>
      </c>
      <c r="E99" s="8">
        <f t="shared" si="13"/>
        <v>3762360</v>
      </c>
      <c r="F99" s="8">
        <f>SUM(D89:D99)</f>
        <v>796301</v>
      </c>
      <c r="G99" s="8"/>
    </row>
    <row r="100" spans="2:19">
      <c r="B100" s="195" t="s">
        <v>148</v>
      </c>
      <c r="C100" s="199">
        <v>57.5</v>
      </c>
      <c r="D100" s="196">
        <v>86312</v>
      </c>
      <c r="E100" s="8">
        <f t="shared" si="13"/>
        <v>4962940</v>
      </c>
      <c r="F100" s="8">
        <f>SUM(D89:D100)</f>
        <v>882613</v>
      </c>
      <c r="G100" s="8"/>
    </row>
    <row r="101" spans="2:19">
      <c r="B101" s="195" t="s">
        <v>150</v>
      </c>
      <c r="C101" s="199">
        <v>62.5</v>
      </c>
      <c r="D101" s="196">
        <v>86445</v>
      </c>
      <c r="E101" s="8">
        <f t="shared" si="13"/>
        <v>5402812.5</v>
      </c>
      <c r="F101" s="8">
        <f>SUM(D89:D101)</f>
        <v>969058</v>
      </c>
      <c r="G101" s="8"/>
    </row>
    <row r="102" spans="2:19">
      <c r="B102" s="195" t="s">
        <v>152</v>
      </c>
      <c r="C102" s="148">
        <v>67.5</v>
      </c>
      <c r="D102" s="196">
        <v>70522</v>
      </c>
      <c r="E102" s="8">
        <f t="shared" si="13"/>
        <v>4760235</v>
      </c>
      <c r="F102" s="8">
        <f>SUM(D89:D102)</f>
        <v>1039580</v>
      </c>
      <c r="G102" s="8"/>
      <c r="J102" s="201">
        <v>2018</v>
      </c>
      <c r="K102" s="201"/>
      <c r="L102" s="201"/>
    </row>
    <row r="103" ht="26.4" spans="2:19">
      <c r="B103" s="195" t="s">
        <v>153</v>
      </c>
      <c r="C103" s="148">
        <v>72.5</v>
      </c>
      <c r="D103" s="196">
        <v>36253</v>
      </c>
      <c r="E103" s="8">
        <f t="shared" si="13"/>
        <v>2628342.5</v>
      </c>
      <c r="F103" s="8">
        <f>SUM(D89:D103)</f>
        <v>1075833</v>
      </c>
      <c r="G103" s="8"/>
      <c r="I103" s="126" t="s">
        <v>114</v>
      </c>
      <c r="J103" s="126" t="s">
        <v>167</v>
      </c>
      <c r="K103" s="126" t="s">
        <v>116</v>
      </c>
      <c r="L103" s="175" t="s">
        <v>117</v>
      </c>
      <c r="M103" s="126" t="s">
        <v>118</v>
      </c>
      <c r="P103" s="201">
        <v>2020</v>
      </c>
      <c r="Q103" s="201"/>
      <c r="R103" s="201"/>
    </row>
    <row r="104" ht="53.55" spans="2:19">
      <c r="B104" s="195" t="s">
        <v>155</v>
      </c>
      <c r="C104" s="148">
        <v>77.5</v>
      </c>
      <c r="D104" s="196">
        <v>28903</v>
      </c>
      <c r="E104" s="8">
        <f t="shared" si="13"/>
        <v>2239982.5</v>
      </c>
      <c r="F104" s="8">
        <f>SUM(D89:D104)</f>
        <v>1104736</v>
      </c>
      <c r="G104" s="8"/>
      <c r="I104" s="195" t="s">
        <v>121</v>
      </c>
      <c r="J104" s="148">
        <v>2.5</v>
      </c>
      <c r="K104" s="202">
        <v>63868</v>
      </c>
      <c r="L104" s="8">
        <f t="shared" ref="L104:L120" si="14">K104*J104</f>
        <v>159670</v>
      </c>
      <c r="M104" s="8">
        <f>K104</f>
        <v>63868</v>
      </c>
      <c r="O104" s="126" t="s">
        <v>114</v>
      </c>
      <c r="P104" s="126" t="s">
        <v>167</v>
      </c>
      <c r="Q104" s="126" t="s">
        <v>116</v>
      </c>
      <c r="R104" s="175" t="s">
        <v>117</v>
      </c>
      <c r="S104" s="126" t="s">
        <v>118</v>
      </c>
    </row>
    <row r="105" ht="13.95" spans="2:19">
      <c r="B105" s="195" t="s">
        <v>157</v>
      </c>
      <c r="C105" s="148">
        <v>82.5</v>
      </c>
      <c r="D105" s="196">
        <v>23672</v>
      </c>
      <c r="E105" s="8">
        <f t="shared" si="13"/>
        <v>1952940</v>
      </c>
      <c r="F105" s="8">
        <f>SUM(D89:D105)</f>
        <v>1128408</v>
      </c>
      <c r="G105" s="8"/>
      <c r="I105" s="197" t="s">
        <v>168</v>
      </c>
      <c r="J105" s="148">
        <v>7.5</v>
      </c>
      <c r="K105" s="202">
        <v>65900</v>
      </c>
      <c r="L105" s="8">
        <f t="shared" si="14"/>
        <v>494250</v>
      </c>
      <c r="M105" s="8">
        <f>SUM(K104:K105)</f>
        <v>129768</v>
      </c>
      <c r="O105" s="195" t="s">
        <v>121</v>
      </c>
      <c r="P105" s="148">
        <v>2.5</v>
      </c>
      <c r="Q105" s="202">
        <v>56571</v>
      </c>
      <c r="R105" s="8">
        <f t="shared" ref="R105:R121" si="15">Q105*P105</f>
        <v>141427.5</v>
      </c>
      <c r="S105" s="8">
        <f>Q105</f>
        <v>56571</v>
      </c>
    </row>
    <row r="106" ht="13.95" spans="2:19">
      <c r="B106" s="195" t="s">
        <v>169</v>
      </c>
      <c r="C106" s="148" t="s">
        <v>163</v>
      </c>
      <c r="D106" s="196">
        <v>15711</v>
      </c>
      <c r="E106" s="8"/>
      <c r="F106" s="8">
        <f>SUM(D89:D106)</f>
        <v>1144119</v>
      </c>
      <c r="G106" s="8"/>
      <c r="I106" s="195" t="s">
        <v>126</v>
      </c>
      <c r="J106" s="148">
        <v>12.5</v>
      </c>
      <c r="K106" s="202">
        <v>60504</v>
      </c>
      <c r="L106" s="8">
        <f t="shared" si="14"/>
        <v>756300</v>
      </c>
      <c r="M106" s="8">
        <f>SUM(K104:K106)</f>
        <v>190272</v>
      </c>
      <c r="O106" s="197" t="s">
        <v>168</v>
      </c>
      <c r="P106" s="148">
        <v>7.5</v>
      </c>
      <c r="Q106" s="202">
        <v>65170</v>
      </c>
      <c r="R106" s="8">
        <f t="shared" si="15"/>
        <v>488775</v>
      </c>
      <c r="S106" s="8">
        <f>SUM(Q105:Q106)</f>
        <v>121741</v>
      </c>
    </row>
    <row r="107" ht="13.95" spans="2:19">
      <c r="B107" s="195" t="s">
        <v>103</v>
      </c>
      <c r="C107" s="148"/>
      <c r="D107" s="196">
        <f>SUM(D89:D106)</f>
        <v>1144119</v>
      </c>
      <c r="E107" s="196">
        <f>SUM(E89:E106)</f>
        <v>44908205</v>
      </c>
      <c r="F107" s="8"/>
      <c r="G107" s="8"/>
      <c r="I107" s="195" t="s">
        <v>129</v>
      </c>
      <c r="J107" s="148">
        <v>17.5</v>
      </c>
      <c r="K107" s="202">
        <v>48610</v>
      </c>
      <c r="L107" s="8">
        <f t="shared" si="14"/>
        <v>850675</v>
      </c>
      <c r="M107" s="8">
        <f>SUM(K104:K107)</f>
        <v>238882</v>
      </c>
      <c r="O107" s="195" t="s">
        <v>126</v>
      </c>
      <c r="P107" s="148">
        <v>12.5</v>
      </c>
      <c r="Q107" s="202">
        <v>61024</v>
      </c>
      <c r="R107" s="8">
        <f t="shared" si="15"/>
        <v>762800</v>
      </c>
      <c r="S107" s="8">
        <f>SUM(Q105:Q107)</f>
        <v>182765</v>
      </c>
    </row>
    <row r="108" ht="13.95" spans="2:19">
      <c r="I108" s="195" t="s">
        <v>132</v>
      </c>
      <c r="J108" s="199">
        <v>22.5</v>
      </c>
      <c r="K108" s="202">
        <v>44458</v>
      </c>
      <c r="L108" s="8">
        <f t="shared" si="14"/>
        <v>1000305</v>
      </c>
      <c r="M108" s="130">
        <f>SUM(K104:K108)</f>
        <v>283340</v>
      </c>
      <c r="O108" s="195" t="s">
        <v>129</v>
      </c>
      <c r="P108" s="148">
        <v>17.5</v>
      </c>
      <c r="Q108" s="202">
        <v>52172</v>
      </c>
      <c r="R108" s="8">
        <f t="shared" si="15"/>
        <v>913010</v>
      </c>
      <c r="S108" s="8">
        <f>SUM(Q105:Q108)</f>
        <v>234937</v>
      </c>
    </row>
    <row r="109" ht="13.95" spans="2:19">
      <c r="C109" s="201">
        <v>2017</v>
      </c>
      <c r="D109" s="201"/>
      <c r="E109" s="201"/>
      <c r="I109" s="195" t="s">
        <v>135</v>
      </c>
      <c r="J109" s="199">
        <v>27.5</v>
      </c>
      <c r="K109" s="202">
        <v>70390</v>
      </c>
      <c r="L109" s="8">
        <f t="shared" si="14"/>
        <v>1935725</v>
      </c>
      <c r="M109" s="8">
        <f>SUM(K104:K109)</f>
        <v>353730</v>
      </c>
      <c r="O109" s="195" t="s">
        <v>132</v>
      </c>
      <c r="P109" s="199">
        <v>22.5</v>
      </c>
      <c r="Q109" s="202">
        <v>41536</v>
      </c>
      <c r="R109" s="8">
        <f t="shared" si="15"/>
        <v>934560</v>
      </c>
      <c r="S109" s="130">
        <f>SUM(Q105:Q109)</f>
        <v>276473</v>
      </c>
    </row>
    <row r="110" ht="27.15" spans="2:19">
      <c r="B110" s="126" t="s">
        <v>114</v>
      </c>
      <c r="C110" s="126" t="s">
        <v>167</v>
      </c>
      <c r="D110" s="126" t="s">
        <v>116</v>
      </c>
      <c r="E110" s="175" t="s">
        <v>117</v>
      </c>
      <c r="F110" s="126" t="s">
        <v>118</v>
      </c>
      <c r="I110" s="195" t="s">
        <v>137</v>
      </c>
      <c r="J110" s="199">
        <v>32.5</v>
      </c>
      <c r="K110" s="202">
        <v>91559</v>
      </c>
      <c r="L110" s="8">
        <f t="shared" si="14"/>
        <v>2975667.5</v>
      </c>
      <c r="M110" s="8">
        <f>SUM(K104:K110)</f>
        <v>445289</v>
      </c>
      <c r="O110" s="195" t="s">
        <v>135</v>
      </c>
      <c r="P110" s="199">
        <v>27.5</v>
      </c>
      <c r="Q110" s="202">
        <v>53173</v>
      </c>
      <c r="R110" s="8">
        <f t="shared" si="15"/>
        <v>1462257.5</v>
      </c>
      <c r="S110" s="8">
        <f>SUM(Q105:Q110)</f>
        <v>329646</v>
      </c>
    </row>
    <row r="111" ht="13.95" spans="2:19">
      <c r="B111" s="195" t="s">
        <v>121</v>
      </c>
      <c r="C111" s="148">
        <v>2.5</v>
      </c>
      <c r="D111" s="202">
        <v>66474</v>
      </c>
      <c r="E111" s="8">
        <f t="shared" ref="E111:E127" si="16">D111*C111</f>
        <v>166185</v>
      </c>
      <c r="F111" s="8">
        <f>D111</f>
        <v>66474</v>
      </c>
      <c r="I111" s="195" t="s">
        <v>138</v>
      </c>
      <c r="J111" s="199">
        <v>37.5</v>
      </c>
      <c r="K111" s="202">
        <v>87398</v>
      </c>
      <c r="L111" s="8">
        <f t="shared" si="14"/>
        <v>3277425</v>
      </c>
      <c r="M111" s="203">
        <f>SUM(K104:K111)</f>
        <v>532687</v>
      </c>
      <c r="O111" s="195" t="s">
        <v>137</v>
      </c>
      <c r="P111" s="199">
        <v>32.5</v>
      </c>
      <c r="Q111" s="202">
        <v>85418</v>
      </c>
      <c r="R111" s="8">
        <f t="shared" si="15"/>
        <v>2776085</v>
      </c>
      <c r="S111" s="8">
        <f>SUM(Q105:Q111)</f>
        <v>415064</v>
      </c>
    </row>
    <row r="112" ht="13.95" spans="2:19">
      <c r="B112" s="197" t="s">
        <v>168</v>
      </c>
      <c r="C112" s="148">
        <v>7.5</v>
      </c>
      <c r="D112" s="202">
        <v>66360</v>
      </c>
      <c r="E112" s="8">
        <f t="shared" si="16"/>
        <v>497700</v>
      </c>
      <c r="F112" s="8">
        <f>SUM(D111:D112)</f>
        <v>132834</v>
      </c>
      <c r="I112" s="195" t="s">
        <v>140</v>
      </c>
      <c r="J112" s="199">
        <v>42.5</v>
      </c>
      <c r="K112" s="202">
        <v>82552</v>
      </c>
      <c r="L112" s="8">
        <f t="shared" si="14"/>
        <v>3508460</v>
      </c>
      <c r="M112" s="204">
        <f>SUM(K104:K112)</f>
        <v>615239</v>
      </c>
      <c r="O112" s="195" t="s">
        <v>138</v>
      </c>
      <c r="P112" s="199">
        <v>37.5</v>
      </c>
      <c r="Q112" s="202">
        <v>87184</v>
      </c>
      <c r="R112" s="8">
        <f t="shared" si="15"/>
        <v>3269400</v>
      </c>
      <c r="S112" s="203">
        <f>SUM(Q105:Q112)</f>
        <v>502248</v>
      </c>
    </row>
    <row r="113" ht="13.95" spans="2:19">
      <c r="B113" s="195" t="s">
        <v>126</v>
      </c>
      <c r="C113" s="148">
        <v>12.5</v>
      </c>
      <c r="D113" s="202">
        <v>60126</v>
      </c>
      <c r="E113" s="8">
        <f t="shared" si="16"/>
        <v>751575</v>
      </c>
      <c r="F113" s="8">
        <f>SUM(D111:D113)</f>
        <v>192960</v>
      </c>
      <c r="I113" s="195" t="s">
        <v>142</v>
      </c>
      <c r="J113" s="199">
        <v>47.5</v>
      </c>
      <c r="K113" s="202">
        <v>69445</v>
      </c>
      <c r="L113" s="8">
        <f t="shared" si="14"/>
        <v>3298637.5</v>
      </c>
      <c r="M113" s="8">
        <f>SUM(K104:K113)</f>
        <v>684684</v>
      </c>
      <c r="O113" s="195" t="s">
        <v>140</v>
      </c>
      <c r="P113" s="199">
        <v>42.5</v>
      </c>
      <c r="Q113" s="202">
        <v>83017</v>
      </c>
      <c r="R113" s="8">
        <f t="shared" si="15"/>
        <v>3528222.5</v>
      </c>
      <c r="S113" s="204">
        <f>SUM(Q105:Q113)</f>
        <v>585265</v>
      </c>
    </row>
    <row r="114" ht="13.95" spans="2:19">
      <c r="B114" s="195" t="s">
        <v>129</v>
      </c>
      <c r="C114" s="148">
        <v>17.5</v>
      </c>
      <c r="D114" s="202">
        <v>47653</v>
      </c>
      <c r="E114" s="8">
        <f t="shared" si="16"/>
        <v>833927.5</v>
      </c>
      <c r="F114" s="8">
        <f>SUM(D111:D114)</f>
        <v>240613</v>
      </c>
      <c r="I114" s="195" t="s">
        <v>146</v>
      </c>
      <c r="J114" s="199">
        <v>52.5</v>
      </c>
      <c r="K114" s="202">
        <v>72097</v>
      </c>
      <c r="L114" s="8">
        <f t="shared" si="14"/>
        <v>3785092.5</v>
      </c>
      <c r="M114" s="8">
        <f>SUM(K104:K114)</f>
        <v>756781</v>
      </c>
      <c r="O114" s="195" t="s">
        <v>142</v>
      </c>
      <c r="P114" s="199">
        <v>47.5</v>
      </c>
      <c r="Q114" s="202">
        <v>71590</v>
      </c>
      <c r="R114" s="8">
        <f t="shared" si="15"/>
        <v>3400525</v>
      </c>
      <c r="S114" s="8">
        <f>SUM(Q105:Q114)</f>
        <v>656855</v>
      </c>
    </row>
    <row r="115" ht="13.95" spans="2:19">
      <c r="B115" s="195" t="s">
        <v>132</v>
      </c>
      <c r="C115" s="199">
        <v>22.5</v>
      </c>
      <c r="D115" s="202">
        <v>47853</v>
      </c>
      <c r="E115" s="8">
        <f t="shared" si="16"/>
        <v>1076692.5</v>
      </c>
      <c r="F115" s="130">
        <f>SUM(D111:D115)</f>
        <v>288466</v>
      </c>
      <c r="I115" s="195" t="s">
        <v>148</v>
      </c>
      <c r="J115" s="199">
        <v>57.5</v>
      </c>
      <c r="K115" s="202">
        <v>86272</v>
      </c>
      <c r="L115" s="8">
        <f t="shared" si="14"/>
        <v>4960640</v>
      </c>
      <c r="M115" s="8">
        <f>SUM(K104:K115)</f>
        <v>843053</v>
      </c>
      <c r="O115" s="195" t="s">
        <v>146</v>
      </c>
      <c r="P115" s="199">
        <v>52.5</v>
      </c>
      <c r="Q115" s="202">
        <v>65120</v>
      </c>
      <c r="R115" s="8">
        <f t="shared" si="15"/>
        <v>3418800</v>
      </c>
      <c r="S115" s="8">
        <f>SUM(Q105:Q115)</f>
        <v>721975</v>
      </c>
    </row>
    <row r="116" ht="13.95" spans="2:19">
      <c r="B116" s="195" t="s">
        <v>135</v>
      </c>
      <c r="C116" s="199">
        <v>27.5</v>
      </c>
      <c r="D116" s="202">
        <v>80659</v>
      </c>
      <c r="E116" s="8">
        <f t="shared" si="16"/>
        <v>2218122.5</v>
      </c>
      <c r="F116" s="8">
        <f>SUM(D111:D116)</f>
        <v>369125</v>
      </c>
      <c r="I116" s="195" t="s">
        <v>150</v>
      </c>
      <c r="J116" s="199">
        <v>62.5</v>
      </c>
      <c r="K116" s="202">
        <v>83100</v>
      </c>
      <c r="L116" s="8">
        <f t="shared" si="14"/>
        <v>5193750</v>
      </c>
      <c r="M116" s="8">
        <f>SUM(K104:K116)</f>
        <v>926153</v>
      </c>
      <c r="O116" s="195" t="s">
        <v>148</v>
      </c>
      <c r="P116" s="199">
        <v>57.5</v>
      </c>
      <c r="Q116" s="202">
        <v>77846</v>
      </c>
      <c r="R116" s="8">
        <f t="shared" si="15"/>
        <v>4476145</v>
      </c>
      <c r="S116" s="8">
        <f>SUM(Q105:Q116)</f>
        <v>799821</v>
      </c>
    </row>
    <row r="117" ht="13.95" spans="2:19">
      <c r="B117" s="195" t="s">
        <v>137</v>
      </c>
      <c r="C117" s="199">
        <v>32.5</v>
      </c>
      <c r="D117" s="202">
        <v>92749</v>
      </c>
      <c r="E117" s="8">
        <f t="shared" si="16"/>
        <v>3014342.5</v>
      </c>
      <c r="F117" s="8">
        <f>SUM(D111:D117)</f>
        <v>461874</v>
      </c>
      <c r="I117" s="195" t="s">
        <v>152</v>
      </c>
      <c r="J117" s="148">
        <v>67.5</v>
      </c>
      <c r="K117" s="202">
        <v>65536</v>
      </c>
      <c r="L117" s="8">
        <f t="shared" si="14"/>
        <v>4423680</v>
      </c>
      <c r="M117" s="8">
        <f>SUM(K104:K117)</f>
        <v>991689</v>
      </c>
      <c r="O117" s="195" t="s">
        <v>150</v>
      </c>
      <c r="P117" s="199">
        <v>62.5</v>
      </c>
      <c r="Q117" s="202">
        <v>80993</v>
      </c>
      <c r="R117" s="8">
        <f t="shared" si="15"/>
        <v>5062062.5</v>
      </c>
      <c r="S117" s="8">
        <f>SUM(Q105:Q117)</f>
        <v>880814</v>
      </c>
    </row>
    <row r="118" ht="13.95" spans="2:19">
      <c r="B118" s="195" t="s">
        <v>138</v>
      </c>
      <c r="C118" s="199">
        <v>37.5</v>
      </c>
      <c r="D118" s="202">
        <v>87849</v>
      </c>
      <c r="E118" s="8">
        <f t="shared" si="16"/>
        <v>3294337.5</v>
      </c>
      <c r="F118" s="133">
        <f>SUM(D111:D118)</f>
        <v>549723</v>
      </c>
      <c r="I118" s="195" t="s">
        <v>153</v>
      </c>
      <c r="J118" s="148">
        <v>72.5</v>
      </c>
      <c r="K118" s="202">
        <v>30168</v>
      </c>
      <c r="L118" s="8">
        <f t="shared" si="14"/>
        <v>2187180</v>
      </c>
      <c r="M118" s="8">
        <f>SUM(K104:K118)</f>
        <v>1021857</v>
      </c>
      <c r="O118" s="195" t="s">
        <v>152</v>
      </c>
      <c r="P118" s="148">
        <v>67.5</v>
      </c>
      <c r="Q118" s="202">
        <v>69609</v>
      </c>
      <c r="R118" s="8">
        <f t="shared" si="15"/>
        <v>4698607.5</v>
      </c>
      <c r="S118" s="8">
        <f>SUM(Q105:Q118)</f>
        <v>950423</v>
      </c>
    </row>
    <row r="119" ht="13.95" spans="2:19">
      <c r="B119" s="195" t="s">
        <v>140</v>
      </c>
      <c r="C119" s="199">
        <v>42.5</v>
      </c>
      <c r="D119" s="202">
        <v>82210</v>
      </c>
      <c r="E119" s="8">
        <f t="shared" si="16"/>
        <v>3493925</v>
      </c>
      <c r="F119" s="8">
        <f>SUM(D111:D119)</f>
        <v>631933</v>
      </c>
      <c r="I119" s="195" t="s">
        <v>155</v>
      </c>
      <c r="J119" s="148">
        <v>77.5</v>
      </c>
      <c r="K119" s="202">
        <v>33503</v>
      </c>
      <c r="L119" s="8">
        <f t="shared" si="14"/>
        <v>2596482.5</v>
      </c>
      <c r="M119" s="8">
        <f>SUM(K104:K119)</f>
        <v>1055360</v>
      </c>
      <c r="O119" s="195" t="s">
        <v>153</v>
      </c>
      <c r="P119" s="148">
        <v>72.5</v>
      </c>
      <c r="Q119" s="202">
        <v>43377</v>
      </c>
      <c r="R119" s="8">
        <f t="shared" si="15"/>
        <v>3144832.5</v>
      </c>
      <c r="S119" s="8">
        <f>SUM(Q105:Q119)</f>
        <v>993800</v>
      </c>
    </row>
    <row r="120" ht="13.95" spans="2:19">
      <c r="B120" s="195" t="s">
        <v>142</v>
      </c>
      <c r="C120" s="199">
        <v>47.5</v>
      </c>
      <c r="D120" s="202">
        <v>68764</v>
      </c>
      <c r="E120" s="8">
        <f t="shared" si="16"/>
        <v>3266290</v>
      </c>
      <c r="F120" s="8">
        <f>SUM(D111:D120)</f>
        <v>700697</v>
      </c>
      <c r="I120" s="195" t="s">
        <v>157</v>
      </c>
      <c r="J120" s="148">
        <v>82.5</v>
      </c>
      <c r="K120" s="202">
        <v>21115</v>
      </c>
      <c r="L120" s="8">
        <f t="shared" si="14"/>
        <v>1741987.5</v>
      </c>
      <c r="M120" s="8">
        <f>SUM(K104:K120)</f>
        <v>1076475</v>
      </c>
      <c r="O120" s="195" t="s">
        <v>155</v>
      </c>
      <c r="P120" s="148">
        <v>77.5</v>
      </c>
      <c r="Q120" s="202">
        <v>22856</v>
      </c>
      <c r="R120" s="8">
        <f t="shared" si="15"/>
        <v>1771340</v>
      </c>
      <c r="S120" s="8">
        <f>SUM(Q105:Q120)</f>
        <v>1016656</v>
      </c>
    </row>
    <row r="121" ht="13.95" spans="2:19">
      <c r="B121" s="195" t="s">
        <v>146</v>
      </c>
      <c r="C121" s="199">
        <v>52.5</v>
      </c>
      <c r="D121" s="202">
        <v>76500</v>
      </c>
      <c r="E121" s="8">
        <f t="shared" si="16"/>
        <v>4016250</v>
      </c>
      <c r="F121" s="8">
        <f>SUM(D111:D121)</f>
        <v>777197</v>
      </c>
      <c r="I121" s="195" t="s">
        <v>169</v>
      </c>
      <c r="J121" s="148" t="s">
        <v>163</v>
      </c>
      <c r="K121" s="202">
        <v>10995</v>
      </c>
      <c r="L121" s="8"/>
      <c r="M121" s="8">
        <f>SUM(K104:K121)</f>
        <v>1087470</v>
      </c>
      <c r="O121" s="195" t="s">
        <v>157</v>
      </c>
      <c r="P121" s="148">
        <v>82.5</v>
      </c>
      <c r="Q121" s="202">
        <v>24679</v>
      </c>
      <c r="R121" s="8">
        <f t="shared" si="15"/>
        <v>2036017.5</v>
      </c>
      <c r="S121" s="8">
        <f>SUM(Q105:Q121)</f>
        <v>1041335</v>
      </c>
    </row>
    <row r="122" ht="13.95" spans="2:19">
      <c r="B122" s="195" t="s">
        <v>148</v>
      </c>
      <c r="C122" s="199">
        <v>57.5</v>
      </c>
      <c r="D122" s="202">
        <v>89452</v>
      </c>
      <c r="E122" s="8">
        <f t="shared" si="16"/>
        <v>5143490</v>
      </c>
      <c r="F122" s="8">
        <f>SUM(D111:D122)</f>
        <v>866649</v>
      </c>
      <c r="I122" s="195" t="s">
        <v>103</v>
      </c>
      <c r="J122" s="148"/>
      <c r="K122" s="202">
        <f>SUM(K104:K121)</f>
        <v>1087470</v>
      </c>
      <c r="L122" s="196">
        <f>SUM(L104:L121)</f>
        <v>43145927.5</v>
      </c>
      <c r="M122" s="8"/>
      <c r="O122" s="195" t="s">
        <v>169</v>
      </c>
      <c r="P122" s="148" t="s">
        <v>163</v>
      </c>
      <c r="Q122" s="202">
        <v>10350</v>
      </c>
      <c r="R122" s="8"/>
      <c r="S122" s="8">
        <f>SUM(Q105:Q122)</f>
        <v>1051685</v>
      </c>
    </row>
    <row r="123" spans="2:19">
      <c r="B123" s="195" t="s">
        <v>150</v>
      </c>
      <c r="C123" s="199">
        <v>62.5</v>
      </c>
      <c r="D123" s="202">
        <v>83347</v>
      </c>
      <c r="E123" s="8">
        <f t="shared" si="16"/>
        <v>5209187.5</v>
      </c>
      <c r="F123" s="8">
        <f>SUM(D111:D123)</f>
        <v>949996</v>
      </c>
      <c r="O123" s="195" t="s">
        <v>103</v>
      </c>
      <c r="P123" s="148"/>
      <c r="Q123" s="202">
        <f>SUM(Q105:Q122)</f>
        <v>1051685</v>
      </c>
      <c r="R123" s="196">
        <f>SUM(R105:R122)</f>
        <v>42284867.5</v>
      </c>
      <c r="S123" s="8"/>
    </row>
    <row r="124" spans="2:19">
      <c r="B124" s="195" t="s">
        <v>152</v>
      </c>
      <c r="C124" s="148">
        <v>67.5</v>
      </c>
      <c r="D124" s="202">
        <v>62537</v>
      </c>
      <c r="E124" s="8">
        <f t="shared" si="16"/>
        <v>4221247.5</v>
      </c>
      <c r="F124" s="8">
        <f>SUM(D111:D124)</f>
        <v>1012533</v>
      </c>
    </row>
    <row r="125" spans="2:19">
      <c r="B125" s="195" t="s">
        <v>153</v>
      </c>
      <c r="C125" s="148">
        <v>72.5</v>
      </c>
      <c r="D125" s="202">
        <v>26189</v>
      </c>
      <c r="E125" s="8">
        <f t="shared" si="16"/>
        <v>1898702.5</v>
      </c>
      <c r="F125" s="8">
        <f>SUM(D111:D125)</f>
        <v>1038722</v>
      </c>
    </row>
    <row r="126" spans="2:19">
      <c r="B126" s="195" t="s">
        <v>155</v>
      </c>
      <c r="C126" s="148">
        <v>77.5</v>
      </c>
      <c r="D126" s="202">
        <v>37956</v>
      </c>
      <c r="E126" s="8">
        <f t="shared" si="16"/>
        <v>2941590</v>
      </c>
      <c r="F126" s="8">
        <f>SUM(D111:D126)</f>
        <v>1076678</v>
      </c>
      <c r="J126" s="201">
        <v>2021</v>
      </c>
      <c r="K126" s="201"/>
      <c r="L126" s="201"/>
      <c r="P126" s="201">
        <v>2022</v>
      </c>
      <c r="Q126" s="201"/>
      <c r="R126" s="201"/>
    </row>
    <row r="127" ht="53.55" spans="2:19">
      <c r="B127" s="195" t="s">
        <v>157</v>
      </c>
      <c r="C127" s="148">
        <v>82.5</v>
      </c>
      <c r="D127" s="202">
        <v>19826</v>
      </c>
      <c r="E127" s="8">
        <f t="shared" si="16"/>
        <v>1635645</v>
      </c>
      <c r="F127" s="8">
        <f>SUM(D111:D127)</f>
        <v>1096504</v>
      </c>
      <c r="I127" s="126" t="s">
        <v>114</v>
      </c>
      <c r="J127" s="126" t="s">
        <v>167</v>
      </c>
      <c r="K127" s="126" t="s">
        <v>116</v>
      </c>
      <c r="L127" s="175" t="s">
        <v>117</v>
      </c>
      <c r="M127" s="126" t="s">
        <v>118</v>
      </c>
      <c r="O127" s="126" t="s">
        <v>114</v>
      </c>
      <c r="P127" s="126" t="s">
        <v>167</v>
      </c>
      <c r="Q127" s="126" t="s">
        <v>116</v>
      </c>
      <c r="R127" s="175" t="s">
        <v>117</v>
      </c>
      <c r="S127" s="126" t="s">
        <v>118</v>
      </c>
    </row>
    <row r="128" ht="13.95" spans="2:19">
      <c r="B128" s="195" t="s">
        <v>169</v>
      </c>
      <c r="C128" s="148" t="s">
        <v>163</v>
      </c>
      <c r="D128" s="202">
        <v>10640</v>
      </c>
      <c r="E128" s="8"/>
      <c r="F128" s="8">
        <f>SUM(D111:D128)</f>
        <v>1107144</v>
      </c>
      <c r="I128" s="195" t="s">
        <v>121</v>
      </c>
      <c r="J128" s="148">
        <v>2.5</v>
      </c>
      <c r="K128" s="202">
        <v>52004</v>
      </c>
      <c r="L128" s="8">
        <f t="shared" ref="L128:L144" si="17">K128*J128</f>
        <v>130010</v>
      </c>
      <c r="M128" s="8">
        <f>K128</f>
        <v>52004</v>
      </c>
      <c r="O128" s="195" t="s">
        <v>121</v>
      </c>
      <c r="P128" s="148">
        <v>2.5</v>
      </c>
      <c r="Q128" s="202">
        <v>47482</v>
      </c>
      <c r="R128" s="8">
        <f t="shared" ref="R128:R144" si="18">Q128*P128</f>
        <v>118705</v>
      </c>
      <c r="S128" s="8">
        <f>Q128</f>
        <v>47482</v>
      </c>
    </row>
    <row r="129" ht="13.95" spans="2:19">
      <c r="B129" s="195" t="s">
        <v>103</v>
      </c>
      <c r="C129" s="148"/>
      <c r="D129" s="202">
        <f>SUM(D111:D128)</f>
        <v>1107144</v>
      </c>
      <c r="E129" s="196">
        <f>SUM(E111:E128)</f>
        <v>43679210</v>
      </c>
      <c r="F129" s="8"/>
      <c r="I129" s="197" t="s">
        <v>168</v>
      </c>
      <c r="J129" s="148">
        <v>7.5</v>
      </c>
      <c r="K129" s="202">
        <v>64829</v>
      </c>
      <c r="L129" s="8">
        <f t="shared" si="17"/>
        <v>486217.5</v>
      </c>
      <c r="M129" s="8">
        <f>SUM(K128:K129)</f>
        <v>116833</v>
      </c>
      <c r="O129" s="197" t="s">
        <v>168</v>
      </c>
      <c r="P129" s="148">
        <v>7.5</v>
      </c>
      <c r="Q129" s="202">
        <v>64600</v>
      </c>
      <c r="R129" s="8">
        <f t="shared" si="18"/>
        <v>484500</v>
      </c>
      <c r="S129" s="8">
        <f>SUM(Q128:Q129)</f>
        <v>112082</v>
      </c>
    </row>
    <row r="130" ht="13.95" spans="2:19">
      <c r="I130" s="195" t="s">
        <v>126</v>
      </c>
      <c r="J130" s="148">
        <v>12.5</v>
      </c>
      <c r="K130" s="202">
        <v>61394</v>
      </c>
      <c r="L130" s="8">
        <f t="shared" si="17"/>
        <v>767425</v>
      </c>
      <c r="M130" s="8">
        <f>SUM(K128:K130)</f>
        <v>178227</v>
      </c>
      <c r="O130" s="195" t="s">
        <v>126</v>
      </c>
      <c r="P130" s="148">
        <v>12.5</v>
      </c>
      <c r="Q130" s="202">
        <v>62063</v>
      </c>
      <c r="R130" s="8">
        <f t="shared" si="18"/>
        <v>775787.5</v>
      </c>
      <c r="S130" s="8">
        <f>SUM(Q128:Q130)</f>
        <v>174145</v>
      </c>
    </row>
    <row r="131" ht="13.95" spans="2:19">
      <c r="I131" s="195" t="s">
        <v>129</v>
      </c>
      <c r="J131" s="148">
        <v>17.5</v>
      </c>
      <c r="K131" s="202">
        <v>54133</v>
      </c>
      <c r="L131" s="8">
        <f t="shared" si="17"/>
        <v>947327.5</v>
      </c>
      <c r="M131" s="8">
        <f>SUM(K128:K131)</f>
        <v>232360</v>
      </c>
      <c r="O131" s="195" t="s">
        <v>129</v>
      </c>
      <c r="P131" s="148">
        <v>17.5</v>
      </c>
      <c r="Q131" s="202">
        <v>54498</v>
      </c>
      <c r="R131" s="8">
        <f t="shared" si="18"/>
        <v>953715</v>
      </c>
      <c r="S131" s="8">
        <f>SUM(Q128:Q131)</f>
        <v>228643</v>
      </c>
    </row>
    <row r="132" ht="13.95" spans="2:19">
      <c r="I132" s="195" t="s">
        <v>132</v>
      </c>
      <c r="J132" s="199">
        <v>22.5</v>
      </c>
      <c r="K132" s="202">
        <v>41199</v>
      </c>
      <c r="L132" s="8">
        <f t="shared" si="17"/>
        <v>926977.5</v>
      </c>
      <c r="M132" s="130">
        <f>SUM(K128:K132)</f>
        <v>273559</v>
      </c>
      <c r="O132" s="195" t="s">
        <v>132</v>
      </c>
      <c r="P132" s="199">
        <v>22.5</v>
      </c>
      <c r="Q132" s="202">
        <v>42356</v>
      </c>
      <c r="R132" s="8">
        <f t="shared" si="18"/>
        <v>953010</v>
      </c>
      <c r="S132" s="130">
        <f>SUM(Q128:Q132)</f>
        <v>270999</v>
      </c>
    </row>
    <row r="133" ht="13.95" spans="2:19">
      <c r="I133" s="195" t="s">
        <v>135</v>
      </c>
      <c r="J133" s="199">
        <v>27.5</v>
      </c>
      <c r="K133" s="202">
        <v>47451</v>
      </c>
      <c r="L133" s="8">
        <f t="shared" si="17"/>
        <v>1304902.5</v>
      </c>
      <c r="M133" s="8">
        <f>SUM(K128:K133)</f>
        <v>321010</v>
      </c>
      <c r="O133" s="195" t="s">
        <v>135</v>
      </c>
      <c r="P133" s="199">
        <v>27.5</v>
      </c>
      <c r="Q133" s="202">
        <v>43145</v>
      </c>
      <c r="R133" s="8">
        <f t="shared" si="18"/>
        <v>1186487.5</v>
      </c>
      <c r="S133" s="8">
        <f>SUM(Q128:Q133)</f>
        <v>314144</v>
      </c>
    </row>
    <row r="134" ht="13.95" spans="2:19">
      <c r="I134" s="195" t="s">
        <v>137</v>
      </c>
      <c r="J134" s="199">
        <v>32.5</v>
      </c>
      <c r="K134" s="202">
        <v>80999</v>
      </c>
      <c r="L134" s="8">
        <f t="shared" si="17"/>
        <v>2632467.5</v>
      </c>
      <c r="M134" s="8">
        <f>SUM(K128:K134)</f>
        <v>402009</v>
      </c>
      <c r="O134" s="195" t="s">
        <v>137</v>
      </c>
      <c r="P134" s="199">
        <v>32.5</v>
      </c>
      <c r="Q134" s="202">
        <v>74000</v>
      </c>
      <c r="R134" s="8">
        <f t="shared" si="18"/>
        <v>2405000</v>
      </c>
      <c r="S134" s="8">
        <f>SUM(Q128:Q134)</f>
        <v>388144</v>
      </c>
    </row>
    <row r="135" ht="13.95" spans="2:19">
      <c r="I135" s="195" t="s">
        <v>138</v>
      </c>
      <c r="J135" s="199">
        <v>37.5</v>
      </c>
      <c r="K135" s="202">
        <v>85959</v>
      </c>
      <c r="L135" s="8">
        <f t="shared" si="17"/>
        <v>3223462.5</v>
      </c>
      <c r="M135" s="203">
        <f>SUM(K128:K135)</f>
        <v>487968</v>
      </c>
      <c r="O135" s="195" t="s">
        <v>138</v>
      </c>
      <c r="P135" s="199">
        <v>37.5</v>
      </c>
      <c r="Q135" s="202">
        <v>86290</v>
      </c>
      <c r="R135" s="8">
        <f t="shared" si="18"/>
        <v>3235875</v>
      </c>
      <c r="S135" s="203">
        <f>SUM(Q128:Q135)</f>
        <v>474434</v>
      </c>
    </row>
    <row r="136" ht="13.95" spans="2:19">
      <c r="I136" s="195" t="s">
        <v>140</v>
      </c>
      <c r="J136" s="199">
        <v>42.5</v>
      </c>
      <c r="K136" s="202">
        <v>82280</v>
      </c>
      <c r="L136" s="8">
        <f t="shared" si="17"/>
        <v>3496900</v>
      </c>
      <c r="M136" s="204">
        <f>SUM(K128:K136)</f>
        <v>570248</v>
      </c>
      <c r="O136" s="195" t="s">
        <v>140</v>
      </c>
      <c r="P136" s="199">
        <v>42.5</v>
      </c>
      <c r="Q136" s="202">
        <v>80747</v>
      </c>
      <c r="R136" s="8">
        <f t="shared" si="18"/>
        <v>3431747.5</v>
      </c>
      <c r="S136" s="204">
        <f>SUM(Q128:Q136)</f>
        <v>555181</v>
      </c>
    </row>
    <row r="137" ht="13.95" spans="2:19">
      <c r="I137" s="195" t="s">
        <v>142</v>
      </c>
      <c r="J137" s="199">
        <v>47.5</v>
      </c>
      <c r="K137" s="202">
        <v>73233</v>
      </c>
      <c r="L137" s="8">
        <f t="shared" si="17"/>
        <v>3478567.5</v>
      </c>
      <c r="M137" s="8">
        <f>SUM(K128:K137)</f>
        <v>643481</v>
      </c>
      <c r="O137" s="195" t="s">
        <v>142</v>
      </c>
      <c r="P137" s="199">
        <v>47.5</v>
      </c>
      <c r="Q137" s="202">
        <v>74989</v>
      </c>
      <c r="R137" s="8">
        <f t="shared" si="18"/>
        <v>3561977.5</v>
      </c>
      <c r="S137" s="8">
        <f>SUM(Q128:Q137)</f>
        <v>630170</v>
      </c>
    </row>
    <row r="138" ht="13.95" spans="2:19">
      <c r="I138" s="195" t="s">
        <v>146</v>
      </c>
      <c r="J138" s="199">
        <v>52.5</v>
      </c>
      <c r="K138" s="202">
        <v>63182</v>
      </c>
      <c r="L138" s="8">
        <f t="shared" si="17"/>
        <v>3317055</v>
      </c>
      <c r="M138" s="8">
        <f>SUM(K128:K138)</f>
        <v>706663</v>
      </c>
      <c r="O138" s="195" t="s">
        <v>146</v>
      </c>
      <c r="P138" s="199">
        <v>52.5</v>
      </c>
      <c r="Q138" s="202">
        <v>62013</v>
      </c>
      <c r="R138" s="8">
        <f t="shared" si="18"/>
        <v>3255682.5</v>
      </c>
      <c r="S138" s="8">
        <f>SUM(Q128:Q138)</f>
        <v>692183</v>
      </c>
    </row>
    <row r="139" ht="13.95" spans="2:19">
      <c r="I139" s="195" t="s">
        <v>148</v>
      </c>
      <c r="J139" s="199">
        <v>57.5</v>
      </c>
      <c r="K139" s="202">
        <v>72514</v>
      </c>
      <c r="L139" s="8">
        <f t="shared" si="17"/>
        <v>4169555</v>
      </c>
      <c r="M139" s="8">
        <f>SUM(K128:K139)</f>
        <v>779177</v>
      </c>
      <c r="O139" s="195" t="s">
        <v>148</v>
      </c>
      <c r="P139" s="199">
        <v>57.5</v>
      </c>
      <c r="Q139" s="202">
        <v>67508</v>
      </c>
      <c r="R139" s="8">
        <f t="shared" si="18"/>
        <v>3881710</v>
      </c>
      <c r="S139" s="8">
        <f>SUM(Q128:Q139)</f>
        <v>759691</v>
      </c>
    </row>
    <row r="140" ht="13.95" spans="2:19">
      <c r="I140" s="195" t="s">
        <v>150</v>
      </c>
      <c r="J140" s="199">
        <v>62.5</v>
      </c>
      <c r="K140" s="202">
        <v>79468</v>
      </c>
      <c r="L140" s="8">
        <f t="shared" si="17"/>
        <v>4966750</v>
      </c>
      <c r="M140" s="8">
        <f>SUM(K128:K140)</f>
        <v>858645</v>
      </c>
      <c r="O140" s="195" t="s">
        <v>150</v>
      </c>
      <c r="P140" s="199">
        <v>62.5</v>
      </c>
      <c r="Q140" s="202">
        <v>77445</v>
      </c>
      <c r="R140" s="8">
        <f t="shared" si="18"/>
        <v>4840312.5</v>
      </c>
      <c r="S140" s="8">
        <f>SUM(Q128:Q140)</f>
        <v>837136</v>
      </c>
    </row>
    <row r="141" ht="13.95" spans="2:19">
      <c r="I141" s="195" t="s">
        <v>152</v>
      </c>
      <c r="J141" s="148">
        <v>67.5</v>
      </c>
      <c r="K141" s="202">
        <v>71028</v>
      </c>
      <c r="L141" s="8">
        <f t="shared" si="17"/>
        <v>4794390</v>
      </c>
      <c r="M141" s="8">
        <f>SUM(K128:K141)</f>
        <v>929673</v>
      </c>
      <c r="O141" s="195" t="s">
        <v>152</v>
      </c>
      <c r="P141" s="148">
        <v>67.5</v>
      </c>
      <c r="Q141" s="202">
        <v>70670</v>
      </c>
      <c r="R141" s="8">
        <f t="shared" si="18"/>
        <v>4770225</v>
      </c>
      <c r="S141" s="8">
        <f>SUM(Q128:Q141)</f>
        <v>907806</v>
      </c>
    </row>
    <row r="142" ht="13.95" spans="2:19">
      <c r="I142" s="195" t="s">
        <v>153</v>
      </c>
      <c r="J142" s="148">
        <v>72.5</v>
      </c>
      <c r="K142" s="202">
        <v>48812</v>
      </c>
      <c r="L142" s="8">
        <f t="shared" si="17"/>
        <v>3538870</v>
      </c>
      <c r="M142" s="8">
        <f>SUM(K128:K142)</f>
        <v>978485</v>
      </c>
      <c r="O142" s="195" t="s">
        <v>153</v>
      </c>
      <c r="P142" s="148">
        <v>72.5</v>
      </c>
      <c r="Q142" s="202">
        <v>50846</v>
      </c>
      <c r="R142" s="8">
        <f t="shared" si="18"/>
        <v>3686335</v>
      </c>
      <c r="S142" s="8">
        <f>SUM(Q128:Q142)</f>
        <v>958652</v>
      </c>
    </row>
    <row r="143" ht="13.95" spans="2:19">
      <c r="I143" s="195" t="s">
        <v>155</v>
      </c>
      <c r="J143" s="148">
        <v>77.5</v>
      </c>
      <c r="K143" s="202">
        <v>20021</v>
      </c>
      <c r="L143" s="8">
        <f t="shared" si="17"/>
        <v>1551627.5</v>
      </c>
      <c r="M143" s="8">
        <f>SUM(K128:K143)</f>
        <v>998506</v>
      </c>
      <c r="O143" s="195" t="s">
        <v>155</v>
      </c>
      <c r="P143" s="148">
        <v>77.5</v>
      </c>
      <c r="Q143" s="202">
        <v>19761</v>
      </c>
      <c r="R143" s="8">
        <f t="shared" si="18"/>
        <v>1531477.5</v>
      </c>
      <c r="S143" s="8">
        <f>SUM(Q128:Q143)</f>
        <v>978413</v>
      </c>
    </row>
    <row r="144" ht="13.95" spans="2:19">
      <c r="I144" s="195" t="s">
        <v>157</v>
      </c>
      <c r="J144" s="148">
        <v>82.5</v>
      </c>
      <c r="K144" s="202">
        <v>24848</v>
      </c>
      <c r="L144" s="8">
        <f t="shared" si="17"/>
        <v>2049960</v>
      </c>
      <c r="M144" s="8">
        <f>SUM(K128:K144)</f>
        <v>1023354</v>
      </c>
      <c r="O144" s="195" t="s">
        <v>157</v>
      </c>
      <c r="P144" s="148">
        <v>82.5</v>
      </c>
      <c r="Q144" s="202">
        <v>24333</v>
      </c>
      <c r="R144" s="8">
        <f t="shared" si="18"/>
        <v>2007472.5</v>
      </c>
      <c r="S144" s="8">
        <f>SUM(Q128:Q144)</f>
        <v>1002746</v>
      </c>
    </row>
    <row r="145" ht="13.95" spans="9:19">
      <c r="I145" s="195" t="s">
        <v>169</v>
      </c>
      <c r="J145" s="148" t="s">
        <v>163</v>
      </c>
      <c r="K145" s="202">
        <v>10523</v>
      </c>
      <c r="L145" s="8"/>
      <c r="M145" s="8">
        <f>SUM(K128:K145)</f>
        <v>1033877</v>
      </c>
      <c r="O145" s="195" t="s">
        <v>169</v>
      </c>
      <c r="P145" s="148" t="s">
        <v>163</v>
      </c>
      <c r="Q145" s="202">
        <v>10420</v>
      </c>
      <c r="R145" s="8"/>
      <c r="S145" s="8">
        <f>SUM(Q128:Q145)</f>
        <v>1013166</v>
      </c>
    </row>
    <row r="146" spans="9:19">
      <c r="I146" s="195" t="s">
        <v>103</v>
      </c>
      <c r="J146" s="148"/>
      <c r="K146" s="202">
        <f>SUM(K128:K145)</f>
        <v>1033877</v>
      </c>
      <c r="L146" s="196">
        <f>SUM(L128:L145)</f>
        <v>41782465</v>
      </c>
      <c r="M146" s="8"/>
      <c r="O146" s="195" t="s">
        <v>103</v>
      </c>
      <c r="P146" s="148"/>
      <c r="Q146" s="202">
        <f>SUM(Q128:Q145)</f>
        <v>1013166</v>
      </c>
      <c r="R146" s="196">
        <f>SUM(R128:R145)</f>
        <v>41080020</v>
      </c>
      <c r="S146" s="8"/>
    </row>
    <row r="150" spans="9:19">
      <c r="J150" s="201">
        <v>2023</v>
      </c>
      <c r="K150" s="201"/>
      <c r="L150" s="201"/>
    </row>
    <row r="151" ht="26.4" spans="9:19">
      <c r="I151" s="126" t="s">
        <v>114</v>
      </c>
      <c r="J151" s="126" t="s">
        <v>167</v>
      </c>
      <c r="K151" s="126" t="s">
        <v>116</v>
      </c>
      <c r="L151" s="175" t="s">
        <v>117</v>
      </c>
      <c r="M151" s="126" t="s">
        <v>118</v>
      </c>
    </row>
    <row r="152" spans="9:19">
      <c r="I152" s="195" t="s">
        <v>121</v>
      </c>
      <c r="J152" s="148">
        <v>2.5</v>
      </c>
      <c r="K152" s="205">
        <v>44453</v>
      </c>
      <c r="L152" s="8">
        <f t="shared" ref="L152:L168" si="19">K152*J152</f>
        <v>111132.5</v>
      </c>
      <c r="M152" s="8">
        <f>K152</f>
        <v>44453</v>
      </c>
    </row>
    <row r="153" spans="9:19">
      <c r="I153" s="197" t="s">
        <v>168</v>
      </c>
      <c r="J153" s="148">
        <v>7.5</v>
      </c>
      <c r="K153" s="205">
        <v>62574</v>
      </c>
      <c r="L153" s="8">
        <f t="shared" si="19"/>
        <v>469305</v>
      </c>
      <c r="M153" s="8">
        <f>SUM(K152:K153)</f>
        <v>107027</v>
      </c>
    </row>
    <row r="154" spans="9:19">
      <c r="I154" s="195" t="s">
        <v>126</v>
      </c>
      <c r="J154" s="148">
        <v>12.5</v>
      </c>
      <c r="K154" s="205">
        <v>62920</v>
      </c>
      <c r="L154" s="8">
        <f t="shared" si="19"/>
        <v>786500</v>
      </c>
      <c r="M154" s="8">
        <f>SUM(K152:K154)</f>
        <v>169947</v>
      </c>
    </row>
    <row r="155" spans="9:19">
      <c r="I155" s="195" t="s">
        <v>129</v>
      </c>
      <c r="J155" s="148">
        <v>17.5</v>
      </c>
      <c r="K155" s="205">
        <v>56192</v>
      </c>
      <c r="L155" s="8">
        <f t="shared" si="19"/>
        <v>983360</v>
      </c>
      <c r="M155" s="8">
        <f>SUM(K152:K155)</f>
        <v>226139</v>
      </c>
    </row>
    <row r="156" spans="9:19">
      <c r="I156" s="195" t="s">
        <v>132</v>
      </c>
      <c r="J156" s="199">
        <v>22.5</v>
      </c>
      <c r="K156" s="205">
        <v>44351</v>
      </c>
      <c r="L156" s="8">
        <f t="shared" si="19"/>
        <v>997897.5</v>
      </c>
      <c r="M156" s="130">
        <f>SUM(K152:K156)</f>
        <v>270490</v>
      </c>
    </row>
    <row r="157" spans="9:19">
      <c r="I157" s="195" t="s">
        <v>135</v>
      </c>
      <c r="J157" s="199">
        <v>27.5</v>
      </c>
      <c r="K157" s="205">
        <v>41275</v>
      </c>
      <c r="L157" s="8">
        <f t="shared" si="19"/>
        <v>1135062.5</v>
      </c>
      <c r="M157" s="8">
        <f>SUM(K152:K157)</f>
        <v>311765</v>
      </c>
    </row>
    <row r="158" spans="9:19">
      <c r="I158" s="195" t="s">
        <v>137</v>
      </c>
      <c r="J158" s="199">
        <v>32.5</v>
      </c>
      <c r="K158" s="205">
        <v>65256</v>
      </c>
      <c r="L158" s="8">
        <f t="shared" si="19"/>
        <v>2120820</v>
      </c>
      <c r="M158" s="8">
        <f>SUM(K152:K158)</f>
        <v>377021</v>
      </c>
    </row>
    <row r="159" spans="9:19">
      <c r="I159" s="195" t="s">
        <v>138</v>
      </c>
      <c r="J159" s="199">
        <v>37.5</v>
      </c>
      <c r="K159" s="205">
        <v>86054</v>
      </c>
      <c r="L159" s="8">
        <f t="shared" si="19"/>
        <v>3227025</v>
      </c>
      <c r="M159" s="203">
        <f>SUM(K152:K159)</f>
        <v>463075</v>
      </c>
    </row>
    <row r="160" spans="9:19">
      <c r="I160" s="195" t="s">
        <v>140</v>
      </c>
      <c r="J160" s="199">
        <v>42.5</v>
      </c>
      <c r="K160" s="205">
        <v>81343</v>
      </c>
      <c r="L160" s="8">
        <f t="shared" si="19"/>
        <v>3457077.5</v>
      </c>
      <c r="M160" s="204">
        <f>SUM(K152:K160)</f>
        <v>544418</v>
      </c>
    </row>
    <row r="161" spans="9:13">
      <c r="I161" s="195" t="s">
        <v>142</v>
      </c>
      <c r="J161" s="199">
        <v>47.5</v>
      </c>
      <c r="K161" s="205">
        <v>76015</v>
      </c>
      <c r="L161" s="8">
        <f t="shared" si="19"/>
        <v>3610712.5</v>
      </c>
      <c r="M161" s="8">
        <f>SUM(K152:K161)</f>
        <v>620433</v>
      </c>
    </row>
    <row r="162" spans="9:13">
      <c r="I162" s="195" t="s">
        <v>146</v>
      </c>
      <c r="J162" s="199">
        <v>52.5</v>
      </c>
      <c r="K162" s="205">
        <v>63094</v>
      </c>
      <c r="L162" s="8">
        <f t="shared" si="19"/>
        <v>3312435</v>
      </c>
      <c r="M162" s="8">
        <f>SUM(K152:K162)</f>
        <v>683527</v>
      </c>
    </row>
    <row r="163" spans="9:13">
      <c r="I163" s="195" t="s">
        <v>148</v>
      </c>
      <c r="J163" s="199">
        <v>57.5</v>
      </c>
      <c r="K163" s="205">
        <v>64034</v>
      </c>
      <c r="L163" s="8">
        <f t="shared" si="19"/>
        <v>3681955</v>
      </c>
      <c r="M163" s="8">
        <f>SUM(K152:K163)</f>
        <v>747561</v>
      </c>
    </row>
    <row r="164" spans="9:13">
      <c r="I164" s="195" t="s">
        <v>150</v>
      </c>
      <c r="J164" s="199">
        <v>62.5</v>
      </c>
      <c r="K164" s="205">
        <v>75199</v>
      </c>
      <c r="L164" s="8">
        <f t="shared" si="19"/>
        <v>4699937.5</v>
      </c>
      <c r="M164" s="8">
        <f>SUM(K152:K164)</f>
        <v>822760</v>
      </c>
    </row>
    <row r="165" spans="9:13">
      <c r="I165" s="195" t="s">
        <v>152</v>
      </c>
      <c r="J165" s="148">
        <v>67.5</v>
      </c>
      <c r="K165" s="205">
        <v>70626</v>
      </c>
      <c r="L165" s="8">
        <f t="shared" si="19"/>
        <v>4767255</v>
      </c>
      <c r="M165" s="8">
        <f>SUM(K152:K165)</f>
        <v>893386</v>
      </c>
    </row>
    <row r="166" spans="9:13">
      <c r="I166" s="195" t="s">
        <v>153</v>
      </c>
      <c r="J166" s="148">
        <v>72.5</v>
      </c>
      <c r="K166" s="205">
        <v>53666</v>
      </c>
      <c r="L166" s="8">
        <f t="shared" si="19"/>
        <v>3890785</v>
      </c>
      <c r="M166" s="8">
        <f>SUM(K152:K166)</f>
        <v>947052</v>
      </c>
    </row>
    <row r="167" spans="9:13">
      <c r="I167" s="195" t="s">
        <v>155</v>
      </c>
      <c r="J167" s="148">
        <v>77.5</v>
      </c>
      <c r="K167" s="205">
        <v>22955</v>
      </c>
      <c r="L167" s="8">
        <f t="shared" si="19"/>
        <v>1779012.5</v>
      </c>
      <c r="M167" s="8">
        <f>SUM(K152:K167)</f>
        <v>970007</v>
      </c>
    </row>
    <row r="168" spans="9:13">
      <c r="I168" s="195" t="s">
        <v>157</v>
      </c>
      <c r="J168" s="148">
        <v>82.5</v>
      </c>
      <c r="K168" s="205">
        <v>21550</v>
      </c>
      <c r="L168" s="8">
        <f t="shared" si="19"/>
        <v>1777875</v>
      </c>
      <c r="M168" s="8">
        <f>SUM(K152:K168)</f>
        <v>991557</v>
      </c>
    </row>
    <row r="169" spans="9:13">
      <c r="I169" s="195" t="s">
        <v>169</v>
      </c>
      <c r="J169" s="148" t="s">
        <v>163</v>
      </c>
      <c r="K169" s="205">
        <v>10672</v>
      </c>
      <c r="L169" s="8"/>
      <c r="M169" s="8">
        <f>SUM(K152:K169)</f>
        <v>1002229</v>
      </c>
    </row>
    <row r="170" spans="9:13">
      <c r="I170" s="195" t="s">
        <v>103</v>
      </c>
      <c r="J170" s="148"/>
      <c r="K170" s="202">
        <f>SUM(K152:K169)</f>
        <v>1002229</v>
      </c>
      <c r="L170" s="196">
        <f>SUM(L152:L169)</f>
        <v>40808147.5</v>
      </c>
      <c r="M170" s="8"/>
    </row>
  </sheetData>
  <mergeCells count="20">
    <mergeCell ref="J46:L46"/>
    <mergeCell ref="D63:F63"/>
    <mergeCell ref="K68:L68"/>
    <mergeCell ref="K74:L74"/>
    <mergeCell ref="K81:L81"/>
    <mergeCell ref="C87:F87"/>
    <mergeCell ref="J102:L102"/>
    <mergeCell ref="P103:R103"/>
    <mergeCell ref="C109:E109"/>
    <mergeCell ref="J126:L126"/>
    <mergeCell ref="P126:R126"/>
    <mergeCell ref="J150:L150"/>
    <mergeCell ref="A2:H3"/>
    <mergeCell ref="B27:F34"/>
    <mergeCell ref="I15:L18"/>
    <mergeCell ref="J36:P37"/>
    <mergeCell ref="J41:P42"/>
    <mergeCell ref="G49:L59"/>
    <mergeCell ref="F18:H20"/>
    <mergeCell ref="U69:AB74"/>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1"/>
  <sheetViews>
    <sheetView zoomScale="72" zoomScaleNormal="72" workbookViewId="0">
      <selection activeCell="G23" sqref="G23"/>
    </sheetView>
  </sheetViews>
  <sheetFormatPr defaultColWidth="8.88888888888889" defaultRowHeight="13.2"/>
  <cols>
    <col min="3" max="3" width="15" customWidth="1"/>
    <col min="4" max="4" width="15.7777777777778" customWidth="1"/>
    <col min="6" max="6" width="14.1111111111111"/>
    <col min="7" max="7" width="21.5555555555556" customWidth="1"/>
    <col min="8" max="8" width="12.5555555555556" customWidth="1"/>
    <col min="9" max="9" width="14.4444444444444" customWidth="1"/>
  </cols>
  <sheetData>
    <row r="1" spans="1:14">
      <c r="A1" s="124" t="s">
        <v>170</v>
      </c>
      <c r="B1" s="124"/>
      <c r="C1" s="124"/>
      <c r="D1" s="124"/>
      <c r="E1" s="124"/>
      <c r="F1" s="124"/>
      <c r="G1" s="124"/>
    </row>
    <row r="2" spans="1:14">
      <c r="A2" s="124"/>
      <c r="B2" s="124"/>
      <c r="C2" s="124"/>
      <c r="D2" s="124"/>
      <c r="E2" s="124"/>
      <c r="F2" s="124"/>
      <c r="G2" s="124"/>
    </row>
    <row r="4" spans="1:14">
      <c r="B4" s="125"/>
      <c r="C4" s="125"/>
      <c r="D4" s="125"/>
    </row>
    <row r="5" ht="70" customHeight="1" spans="1:14">
      <c r="B5" s="126" t="s">
        <v>6</v>
      </c>
      <c r="C5" s="126" t="s">
        <v>171</v>
      </c>
      <c r="D5" s="126" t="s">
        <v>86</v>
      </c>
      <c r="E5" s="127" t="s">
        <v>172</v>
      </c>
      <c r="F5" s="128" t="s">
        <v>173</v>
      </c>
      <c r="G5" s="127" t="s">
        <v>174</v>
      </c>
      <c r="H5" s="127" t="s">
        <v>175</v>
      </c>
      <c r="I5" s="128" t="s">
        <v>176</v>
      </c>
      <c r="J5" s="129"/>
      <c r="K5" s="129"/>
      <c r="L5" s="129"/>
      <c r="M5" s="129"/>
      <c r="N5" s="129"/>
    </row>
    <row r="6" spans="1:14">
      <c r="B6" s="7">
        <v>2017</v>
      </c>
      <c r="C6" s="130">
        <v>1100.79705575115</v>
      </c>
      <c r="D6" s="4">
        <v>44992</v>
      </c>
      <c r="E6" s="130">
        <f>C6-$C$17</f>
        <v>-521.156103892174</v>
      </c>
      <c r="F6" s="130">
        <f>D6-$C$18</f>
        <v>-21367.64125</v>
      </c>
      <c r="G6" s="130">
        <f>F6*E6</f>
        <v>11135876.6632157</v>
      </c>
      <c r="H6" s="130">
        <f>E6*E6</f>
        <v>271603.68462407</v>
      </c>
      <c r="I6" s="130">
        <f>F6*F6</f>
        <v>456576092.588702</v>
      </c>
      <c r="J6" s="131"/>
      <c r="K6" s="131"/>
      <c r="L6" s="131"/>
      <c r="M6" s="131"/>
      <c r="N6" s="131"/>
    </row>
    <row r="7" spans="1:14">
      <c r="B7" s="7" t="s">
        <v>16</v>
      </c>
      <c r="C7" s="130">
        <v>1402.30900418138</v>
      </c>
      <c r="D7" s="5">
        <v>50877.45</v>
      </c>
      <c r="E7" s="130">
        <f>C7-$C$17</f>
        <v>-219.644155461944</v>
      </c>
      <c r="F7" s="130">
        <f t="shared" ref="F7:F13" si="0">D7-$C$18</f>
        <v>-15482.19125</v>
      </c>
      <c r="G7" s="130">
        <f t="shared" ref="G7:G13" si="1">F7*E7</f>
        <v>3400572.82180655</v>
      </c>
      <c r="H7" s="130">
        <f t="shared" ref="H7:H13" si="2">E7*E7</f>
        <v>48243.5550285906</v>
      </c>
      <c r="I7" s="130">
        <f t="shared" ref="I7:I13" si="3">F7*F7</f>
        <v>239698245.901577</v>
      </c>
      <c r="J7" s="131"/>
      <c r="K7" s="131"/>
      <c r="L7" s="131"/>
      <c r="M7" s="131"/>
      <c r="N7" s="131"/>
    </row>
    <row r="8" spans="1:14">
      <c r="B8" s="7" t="s">
        <v>17</v>
      </c>
      <c r="C8" s="130">
        <v>1284.18676096299</v>
      </c>
      <c r="D8" s="5">
        <v>54492.08</v>
      </c>
      <c r="E8" s="130">
        <f t="shared" ref="E7:E13" si="4">C8-$C$17</f>
        <v>-337.766398680334</v>
      </c>
      <c r="F8" s="130">
        <f t="shared" si="0"/>
        <v>-11867.56125</v>
      </c>
      <c r="G8" s="130">
        <f t="shared" si="1"/>
        <v>4008463.42453078</v>
      </c>
      <c r="H8" s="130">
        <f t="shared" si="2"/>
        <v>114086.140077482</v>
      </c>
      <c r="I8" s="130">
        <f t="shared" si="3"/>
        <v>140839010.022502</v>
      </c>
      <c r="J8" s="131"/>
      <c r="K8" s="131"/>
      <c r="L8" s="131"/>
      <c r="M8" s="131"/>
      <c r="N8" s="131"/>
    </row>
    <row r="9" spans="1:14">
      <c r="B9" s="7" t="s">
        <v>18</v>
      </c>
      <c r="C9" s="130">
        <v>1420.24417382786</v>
      </c>
      <c r="D9" s="5">
        <v>58352.9</v>
      </c>
      <c r="E9" s="130">
        <f t="shared" si="4"/>
        <v>-201.708985815464</v>
      </c>
      <c r="F9" s="130">
        <f t="shared" si="0"/>
        <v>-8006.74125</v>
      </c>
      <c r="G9" s="130">
        <f t="shared" si="1"/>
        <v>1615031.65722434</v>
      </c>
      <c r="H9" s="130">
        <f t="shared" si="2"/>
        <v>40686.514958703</v>
      </c>
      <c r="I9" s="130">
        <f t="shared" si="3"/>
        <v>64107905.4444515</v>
      </c>
      <c r="J9" s="131"/>
      <c r="K9" s="131"/>
      <c r="L9" s="131"/>
      <c r="M9" s="131"/>
      <c r="N9" s="131"/>
    </row>
    <row r="10" spans="1:14">
      <c r="B10" s="7" t="s">
        <v>19</v>
      </c>
      <c r="C10" s="130">
        <v>1802.1841848501</v>
      </c>
      <c r="D10" s="5">
        <v>68184.7</v>
      </c>
      <c r="E10" s="130">
        <f t="shared" si="4"/>
        <v>180.231025206776</v>
      </c>
      <c r="F10" s="130">
        <f t="shared" si="0"/>
        <v>1825.05875</v>
      </c>
      <c r="G10" s="130">
        <f t="shared" si="1"/>
        <v>328932.209575097</v>
      </c>
      <c r="H10" s="130">
        <f t="shared" si="2"/>
        <v>32483.2224470856</v>
      </c>
      <c r="I10" s="130">
        <f t="shared" si="3"/>
        <v>3330839.44095155</v>
      </c>
      <c r="J10" s="131"/>
      <c r="K10" s="131"/>
      <c r="L10" s="131"/>
      <c r="M10" s="131"/>
      <c r="N10" s="131"/>
    </row>
    <row r="11" spans="1:14">
      <c r="B11" s="7" t="s">
        <v>20</v>
      </c>
      <c r="C11" s="130">
        <v>1857.53325629972</v>
      </c>
      <c r="D11" s="5">
        <v>77716.5</v>
      </c>
      <c r="E11" s="130">
        <f t="shared" si="4"/>
        <v>235.580096656396</v>
      </c>
      <c r="F11" s="130">
        <f t="shared" si="0"/>
        <v>11356.85875</v>
      </c>
      <c r="G11" s="130">
        <f t="shared" si="1"/>
        <v>2675449.88203804</v>
      </c>
      <c r="H11" s="130">
        <f t="shared" si="2"/>
        <v>55497.9819406369</v>
      </c>
      <c r="I11" s="130">
        <f t="shared" si="3"/>
        <v>128978240.667452</v>
      </c>
      <c r="J11" s="131"/>
      <c r="K11" s="131"/>
      <c r="L11" s="131"/>
      <c r="M11" s="131"/>
      <c r="N11" s="131"/>
    </row>
    <row r="12" spans="1:14">
      <c r="B12" s="7" t="s">
        <v>21</v>
      </c>
      <c r="C12" s="130">
        <v>1854.96358397366</v>
      </c>
      <c r="D12" s="4">
        <v>82996</v>
      </c>
      <c r="E12" s="130">
        <f t="shared" si="4"/>
        <v>233.010424330336</v>
      </c>
      <c r="F12" s="130">
        <f t="shared" si="0"/>
        <v>16636.35875</v>
      </c>
      <c r="G12" s="130">
        <f t="shared" si="1"/>
        <v>3876445.0116492</v>
      </c>
      <c r="H12" s="130">
        <f t="shared" si="2"/>
        <v>54293.8578466033</v>
      </c>
      <c r="I12" s="130">
        <f t="shared" si="3"/>
        <v>276768432.458702</v>
      </c>
      <c r="J12" s="131"/>
      <c r="K12" s="131"/>
      <c r="L12" s="131"/>
      <c r="M12" s="131"/>
      <c r="N12" s="131"/>
    </row>
    <row r="13" spans="1:14">
      <c r="B13" s="132" t="s">
        <v>22</v>
      </c>
      <c r="C13" s="130">
        <v>2253.40725729973</v>
      </c>
      <c r="D13" s="5">
        <v>93265.5</v>
      </c>
      <c r="E13" s="130">
        <f t="shared" si="4"/>
        <v>631.454097656406</v>
      </c>
      <c r="F13" s="130">
        <f t="shared" si="0"/>
        <v>26905.85875</v>
      </c>
      <c r="G13" s="130">
        <f t="shared" si="1"/>
        <v>16989814.758652</v>
      </c>
      <c r="H13" s="130">
        <f t="shared" si="2"/>
        <v>398734.277447066</v>
      </c>
      <c r="I13" s="130">
        <f t="shared" si="3"/>
        <v>723925235.074952</v>
      </c>
      <c r="J13" s="131"/>
      <c r="K13" s="131"/>
      <c r="L13" s="131"/>
      <c r="M13" s="131"/>
      <c r="N13" s="131"/>
    </row>
    <row r="14" spans="1:14">
      <c r="B14" s="133" t="s">
        <v>103</v>
      </c>
      <c r="C14" s="8"/>
      <c r="D14" s="134"/>
      <c r="E14" s="8"/>
      <c r="F14" s="8"/>
      <c r="G14" s="130">
        <f>SUM(G6:G13)</f>
        <v>44030586.4286917</v>
      </c>
      <c r="H14" s="130">
        <f>SUM(H6:H13)</f>
        <v>1015629.23437024</v>
      </c>
      <c r="I14" s="130">
        <f>SUM(I6:I13)</f>
        <v>2034224001.59929</v>
      </c>
      <c r="J14" s="131"/>
      <c r="K14" s="131"/>
      <c r="L14" s="131"/>
      <c r="M14" s="131"/>
      <c r="N14" s="131"/>
    </row>
    <row r="15" spans="1:14">
      <c r="G15" s="131"/>
      <c r="H15" s="131"/>
      <c r="I15" s="131"/>
      <c r="J15" s="131"/>
      <c r="K15" s="131"/>
      <c r="L15" s="131"/>
      <c r="M15" s="131"/>
      <c r="N15" s="131"/>
    </row>
    <row r="16" spans="1:14">
      <c r="G16" s="131"/>
      <c r="H16" s="131"/>
      <c r="I16" s="131"/>
      <c r="J16" s="131"/>
      <c r="K16" s="131"/>
      <c r="L16" s="131"/>
      <c r="M16" s="131"/>
      <c r="N16" s="131"/>
    </row>
    <row r="17" ht="17.4" spans="2:16">
      <c r="B17" s="135" t="s">
        <v>177</v>
      </c>
      <c r="C17" s="130">
        <f>AVERAGE(C6:C13)</f>
        <v>1621.95315964332</v>
      </c>
      <c r="G17" s="136"/>
    </row>
    <row r="18" ht="22.8" spans="2:16">
      <c r="B18" s="135" t="s">
        <v>178</v>
      </c>
      <c r="C18" s="130">
        <f>AVERAGE(D6:D13)</f>
        <v>66359.64125</v>
      </c>
      <c r="G18" s="137" t="s">
        <v>88</v>
      </c>
      <c r="H18" s="138" t="s">
        <v>89</v>
      </c>
      <c r="I18" s="139">
        <f>G14/SQRT(H14*I14)</f>
        <v>0.968695954346102</v>
      </c>
    </row>
    <row r="23" spans="2:16">
      <c r="H23" s="140" t="s">
        <v>179</v>
      </c>
      <c r="I23" s="140"/>
      <c r="J23" s="140"/>
      <c r="K23" s="140"/>
      <c r="L23" s="140"/>
      <c r="M23" s="140"/>
      <c r="N23" s="140"/>
      <c r="O23" s="140"/>
      <c r="P23" s="140"/>
    </row>
    <row r="24" spans="2:16">
      <c r="H24" s="140"/>
      <c r="I24" s="140"/>
      <c r="J24" s="140"/>
      <c r="K24" s="140"/>
      <c r="L24" s="140"/>
      <c r="M24" s="140"/>
      <c r="N24" s="140"/>
      <c r="O24" s="140"/>
      <c r="P24" s="140"/>
    </row>
    <row r="25" spans="2:16">
      <c r="H25" s="140"/>
      <c r="I25" s="140"/>
      <c r="J25" s="140"/>
      <c r="K25" s="140"/>
      <c r="L25" s="140"/>
      <c r="M25" s="140"/>
      <c r="N25" s="140"/>
      <c r="O25" s="140"/>
      <c r="P25" s="140"/>
    </row>
    <row r="26" spans="2:16">
      <c r="H26" s="140"/>
      <c r="I26" s="140"/>
      <c r="J26" s="140"/>
      <c r="K26" s="140"/>
      <c r="L26" s="140"/>
      <c r="M26" s="140"/>
      <c r="N26" s="140"/>
      <c r="O26" s="140"/>
      <c r="P26" s="140"/>
    </row>
    <row r="27" spans="2:16">
      <c r="H27" s="140"/>
      <c r="I27" s="140"/>
      <c r="J27" s="140"/>
      <c r="K27" s="140"/>
      <c r="L27" s="140"/>
      <c r="M27" s="140"/>
      <c r="N27" s="140"/>
      <c r="O27" s="140"/>
      <c r="P27" s="140"/>
    </row>
    <row r="28" spans="2:16">
      <c r="B28" s="141" t="s">
        <v>180</v>
      </c>
      <c r="C28" s="141"/>
      <c r="D28" s="141"/>
      <c r="E28" s="141"/>
      <c r="F28" s="141"/>
      <c r="H28" s="140"/>
      <c r="I28" s="140"/>
      <c r="J28" s="140"/>
      <c r="K28" s="140"/>
      <c r="L28" s="140"/>
      <c r="M28" s="140"/>
      <c r="N28" s="140"/>
      <c r="O28" s="140"/>
      <c r="P28" s="140"/>
    </row>
    <row r="29" spans="2:16">
      <c r="B29" s="141"/>
      <c r="C29" s="141"/>
      <c r="D29" s="141"/>
      <c r="E29" s="141"/>
      <c r="F29" s="141"/>
      <c r="H29" s="140"/>
      <c r="I29" s="140"/>
      <c r="J29" s="140"/>
      <c r="K29" s="140"/>
      <c r="L29" s="140"/>
      <c r="M29" s="140"/>
      <c r="N29" s="140"/>
      <c r="O29" s="140"/>
      <c r="P29" s="140"/>
    </row>
    <row r="30" spans="2:16">
      <c r="B30" s="141"/>
      <c r="C30" s="141"/>
      <c r="D30" s="141"/>
      <c r="E30" s="141"/>
      <c r="F30" s="141"/>
      <c r="H30" s="140"/>
      <c r="I30" s="140"/>
      <c r="J30" s="140"/>
      <c r="K30" s="140"/>
      <c r="L30" s="140"/>
      <c r="M30" s="140"/>
      <c r="N30" s="140"/>
      <c r="O30" s="140"/>
      <c r="P30" s="140"/>
    </row>
    <row r="31" spans="2:16">
      <c r="H31" s="140"/>
      <c r="I31" s="140"/>
      <c r="J31" s="140"/>
      <c r="K31" s="140"/>
      <c r="L31" s="140"/>
      <c r="M31" s="140"/>
      <c r="N31" s="140"/>
      <c r="O31" s="140"/>
      <c r="P31" s="140"/>
    </row>
  </sheetData>
  <mergeCells count="4">
    <mergeCell ref="B4:D4"/>
    <mergeCell ref="A1:G2"/>
    <mergeCell ref="B28:F30"/>
    <mergeCell ref="H23:P31"/>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819"/>
  <sheetViews>
    <sheetView topLeftCell="A795" workbookViewId="0">
      <selection activeCell="H802" sqref="H802:H819"/>
    </sheetView>
  </sheetViews>
  <sheetFormatPr defaultColWidth="8.88888888888889" defaultRowHeight="13.2"/>
  <cols>
    <col min="1" max="1" width="5.39814814814815" customWidth="1"/>
    <col min="2" max="2" width="56.7962962962963" customWidth="1"/>
    <col min="3" max="3" width="15" customWidth="1"/>
    <col min="4" max="4" width="11.3333333333333" customWidth="1"/>
  </cols>
  <sheetData>
    <row r="1" customHeight="1"/>
    <row r="2" customHeight="1" spans="1:26">
      <c r="A2" s="1" t="s">
        <v>181</v>
      </c>
      <c r="B2" s="2"/>
      <c r="C2" s="2"/>
      <c r="D2" s="2"/>
      <c r="E2" s="2"/>
      <c r="F2" s="2"/>
      <c r="G2" s="2"/>
      <c r="H2" s="2"/>
      <c r="I2" s="2"/>
      <c r="J2" s="2"/>
      <c r="K2" s="2"/>
      <c r="L2" s="2"/>
      <c r="M2" s="2"/>
      <c r="N2" s="2"/>
      <c r="O2" s="2"/>
      <c r="P2" s="2"/>
      <c r="Q2" s="2"/>
      <c r="R2" s="2"/>
      <c r="S2" s="2"/>
      <c r="T2" s="2"/>
      <c r="U2" s="2"/>
      <c r="V2" s="2"/>
      <c r="W2" s="2"/>
      <c r="X2" s="2"/>
      <c r="Y2" s="2"/>
      <c r="Z2" s="2"/>
    </row>
    <row r="3" customHeight="1" spans="1:26">
      <c r="A3" s="2" t="s">
        <v>28</v>
      </c>
      <c r="B3" s="2"/>
      <c r="C3" s="2"/>
      <c r="D3" s="2"/>
      <c r="E3" s="2"/>
      <c r="F3" s="2"/>
      <c r="G3" s="2"/>
      <c r="H3" s="2"/>
      <c r="I3" s="2"/>
      <c r="J3" s="2"/>
      <c r="K3" s="2"/>
      <c r="L3" s="2"/>
      <c r="M3" s="2"/>
      <c r="N3" s="2"/>
      <c r="O3" s="2"/>
      <c r="P3" s="2"/>
      <c r="Q3" s="2"/>
      <c r="R3" s="2"/>
      <c r="S3" s="2"/>
      <c r="T3" s="2"/>
      <c r="U3" s="2"/>
      <c r="V3" s="2"/>
      <c r="W3" s="2"/>
      <c r="X3" s="2"/>
      <c r="Y3" s="2"/>
      <c r="Z3" s="2"/>
    </row>
    <row r="4" ht="26.4" customHeight="1" spans="1:26">
      <c r="A4" s="3" t="s">
        <v>28</v>
      </c>
      <c r="B4" s="3" t="s">
        <v>28</v>
      </c>
      <c r="C4" s="3" t="s">
        <v>28</v>
      </c>
      <c r="D4" s="3" t="s">
        <v>182</v>
      </c>
      <c r="E4" s="2"/>
      <c r="F4" s="2"/>
      <c r="G4" s="2"/>
      <c r="H4" s="2"/>
      <c r="I4" s="2"/>
      <c r="J4" s="2"/>
      <c r="K4" s="2"/>
      <c r="L4" s="2"/>
      <c r="M4" s="2"/>
      <c r="N4" s="2"/>
      <c r="O4" s="2"/>
      <c r="P4" s="2"/>
      <c r="Q4" s="2"/>
      <c r="R4" s="2"/>
      <c r="S4" s="2"/>
      <c r="T4" s="2"/>
      <c r="U4" s="2"/>
      <c r="V4" s="2"/>
      <c r="W4" s="2"/>
      <c r="X4" s="2"/>
      <c r="Y4" s="2"/>
      <c r="Z4" s="2"/>
    </row>
    <row r="5" ht="158.4" customHeight="1" spans="1:26">
      <c r="A5" s="3" t="s">
        <v>183</v>
      </c>
      <c r="B5" s="3" t="s">
        <v>184</v>
      </c>
      <c r="C5" s="3" t="s">
        <v>14</v>
      </c>
      <c r="D5" s="4">
        <v>44992</v>
      </c>
      <c r="E5" s="2"/>
      <c r="F5" s="2"/>
      <c r="G5" s="2"/>
      <c r="H5" s="2"/>
      <c r="I5" s="2"/>
      <c r="J5" s="2"/>
      <c r="K5" s="2"/>
      <c r="L5" s="2"/>
      <c r="M5" s="2"/>
      <c r="N5" s="2"/>
      <c r="O5" s="2"/>
      <c r="P5" s="2"/>
      <c r="Q5" s="2"/>
      <c r="R5" s="2"/>
      <c r="S5" s="2"/>
      <c r="T5" s="2"/>
      <c r="U5" s="2"/>
      <c r="V5" s="2"/>
      <c r="W5" s="2"/>
      <c r="X5" s="2"/>
      <c r="Y5" s="2"/>
      <c r="Z5" s="2"/>
    </row>
    <row r="6" customHeight="1" spans="1:26">
      <c r="A6" s="3" t="s">
        <v>183</v>
      </c>
      <c r="B6" s="3" t="s">
        <v>184</v>
      </c>
      <c r="C6" s="3" t="s">
        <v>16</v>
      </c>
      <c r="D6" s="5">
        <v>50877.45</v>
      </c>
      <c r="E6" s="2"/>
      <c r="F6" s="2"/>
      <c r="G6" s="2"/>
      <c r="H6" s="2"/>
      <c r="I6" s="2"/>
      <c r="J6" s="2"/>
      <c r="K6" s="2"/>
      <c r="L6" s="2"/>
      <c r="M6" s="2"/>
      <c r="N6" s="2"/>
      <c r="O6" s="2"/>
      <c r="P6" s="2"/>
      <c r="Q6" s="2"/>
      <c r="R6" s="2"/>
      <c r="S6" s="2"/>
      <c r="T6" s="2"/>
      <c r="U6" s="2"/>
      <c r="V6" s="2"/>
      <c r="W6" s="2"/>
      <c r="X6" s="2"/>
      <c r="Y6" s="2"/>
      <c r="Z6" s="2"/>
    </row>
    <row r="7" customHeight="1" spans="1:26">
      <c r="A7" s="3" t="s">
        <v>183</v>
      </c>
      <c r="B7" s="3" t="s">
        <v>184</v>
      </c>
      <c r="C7" s="3" t="s">
        <v>17</v>
      </c>
      <c r="D7" s="5">
        <v>54492.08</v>
      </c>
      <c r="E7" s="2"/>
      <c r="F7" s="2"/>
      <c r="G7" s="2"/>
      <c r="H7" s="2"/>
      <c r="I7" s="2"/>
      <c r="J7" s="2"/>
      <c r="K7" s="2"/>
      <c r="L7" s="2"/>
      <c r="M7" s="2"/>
      <c r="N7" s="2"/>
      <c r="O7" s="2"/>
      <c r="P7" s="2"/>
      <c r="Q7" s="2"/>
      <c r="R7" s="2"/>
      <c r="S7" s="2"/>
      <c r="T7" s="2"/>
      <c r="U7" s="2"/>
      <c r="V7" s="2"/>
      <c r="W7" s="2"/>
      <c r="X7" s="2"/>
      <c r="Y7" s="2"/>
      <c r="Z7" s="2"/>
    </row>
    <row r="8" ht="158.4" customHeight="1" spans="1:26">
      <c r="A8" s="3" t="s">
        <v>183</v>
      </c>
      <c r="B8" s="3" t="s">
        <v>184</v>
      </c>
      <c r="C8" s="3" t="s">
        <v>18</v>
      </c>
      <c r="D8" s="5">
        <v>58352.9</v>
      </c>
      <c r="E8" s="2"/>
      <c r="F8" s="2"/>
      <c r="G8" s="2"/>
      <c r="H8" s="2"/>
      <c r="I8" s="2"/>
      <c r="J8" s="2"/>
      <c r="K8" s="2"/>
      <c r="L8" s="2"/>
      <c r="M8" s="2"/>
      <c r="N8" s="2"/>
      <c r="O8" s="2"/>
      <c r="P8" s="2"/>
      <c r="Q8" s="2"/>
      <c r="R8" s="2"/>
      <c r="S8" s="2"/>
      <c r="T8" s="2"/>
      <c r="U8" s="2"/>
      <c r="V8" s="2"/>
      <c r="W8" s="2"/>
      <c r="X8" s="2"/>
      <c r="Y8" s="2"/>
      <c r="Z8" s="2"/>
    </row>
    <row r="9" spans="1:26">
      <c r="A9" s="3" t="s">
        <v>183</v>
      </c>
      <c r="B9" s="3" t="s">
        <v>184</v>
      </c>
      <c r="C9" s="3" t="s">
        <v>19</v>
      </c>
      <c r="D9" s="5">
        <v>68184.7</v>
      </c>
      <c r="E9" s="2"/>
      <c r="F9" s="2"/>
      <c r="G9" s="2"/>
      <c r="H9" s="2"/>
      <c r="I9" s="2"/>
      <c r="J9" s="2"/>
      <c r="K9" s="2"/>
      <c r="L9" s="2"/>
      <c r="M9" s="2"/>
      <c r="N9" s="2"/>
      <c r="O9" s="2"/>
      <c r="P9" s="2"/>
      <c r="Q9" s="2"/>
      <c r="R9" s="2"/>
      <c r="S9" s="2"/>
      <c r="T9" s="2"/>
      <c r="U9" s="2"/>
      <c r="V9" s="2"/>
      <c r="W9" s="2"/>
      <c r="X9" s="2"/>
      <c r="Y9" s="2"/>
      <c r="Z9" s="2"/>
    </row>
    <row r="10" spans="1:26">
      <c r="A10" s="3" t="s">
        <v>183</v>
      </c>
      <c r="B10" s="3" t="s">
        <v>184</v>
      </c>
      <c r="C10" s="3" t="s">
        <v>20</v>
      </c>
      <c r="D10" s="5">
        <v>77716.5</v>
      </c>
      <c r="E10" s="2"/>
      <c r="F10" s="2"/>
      <c r="G10" s="2"/>
      <c r="H10" s="2"/>
      <c r="I10" s="2"/>
      <c r="J10" s="2"/>
      <c r="K10" s="2"/>
      <c r="L10" s="2"/>
      <c r="M10" s="2"/>
      <c r="N10" s="2"/>
      <c r="O10" s="2"/>
      <c r="P10" s="2"/>
      <c r="Q10" s="2"/>
      <c r="R10" s="2"/>
      <c r="S10" s="2"/>
      <c r="T10" s="2"/>
      <c r="U10" s="2"/>
      <c r="V10" s="2"/>
      <c r="W10" s="2"/>
      <c r="X10" s="2"/>
      <c r="Y10" s="2"/>
      <c r="Z10" s="2"/>
    </row>
    <row r="11" spans="1:26">
      <c r="A11" s="3" t="s">
        <v>183</v>
      </c>
      <c r="B11" s="3" t="s">
        <v>184</v>
      </c>
      <c r="C11" s="3" t="s">
        <v>21</v>
      </c>
      <c r="D11" s="4">
        <v>82996</v>
      </c>
      <c r="E11" s="2"/>
      <c r="F11" s="2"/>
      <c r="G11" s="2"/>
      <c r="H11" s="2"/>
      <c r="I11" s="2"/>
      <c r="J11" s="2"/>
      <c r="K11" s="2"/>
      <c r="L11" s="2"/>
      <c r="M11" s="2"/>
      <c r="N11" s="2"/>
      <c r="O11" s="2"/>
      <c r="P11" s="2"/>
      <c r="Q11" s="2"/>
      <c r="R11" s="2"/>
      <c r="S11" s="2"/>
      <c r="T11" s="2"/>
      <c r="U11" s="2"/>
      <c r="V11" s="2"/>
      <c r="W11" s="2"/>
      <c r="X11" s="2"/>
      <c r="Y11" s="2"/>
      <c r="Z11" s="2"/>
    </row>
    <row r="12" spans="1:26">
      <c r="A12" s="3" t="s">
        <v>183</v>
      </c>
      <c r="B12" s="3" t="s">
        <v>184</v>
      </c>
      <c r="C12" s="3" t="s">
        <v>22</v>
      </c>
      <c r="D12" s="5">
        <v>93265.5</v>
      </c>
      <c r="E12" s="2"/>
      <c r="F12" s="2"/>
      <c r="G12" s="2"/>
      <c r="H12" s="2"/>
      <c r="I12" s="2"/>
      <c r="J12" s="2"/>
      <c r="K12" s="2"/>
      <c r="L12" s="2"/>
      <c r="M12" s="2"/>
      <c r="N12" s="2"/>
      <c r="O12" s="2"/>
      <c r="P12" s="2"/>
      <c r="Q12" s="2"/>
      <c r="R12" s="2"/>
      <c r="S12" s="2"/>
      <c r="T12" s="2"/>
      <c r="U12" s="2"/>
      <c r="V12" s="2"/>
      <c r="W12" s="2"/>
      <c r="X12" s="2"/>
      <c r="Y12" s="2"/>
      <c r="Z12" s="2"/>
    </row>
    <row r="21" spans="1:26">
      <c r="A21" s="1" t="s">
        <v>185</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t="s">
        <v>28</v>
      </c>
      <c r="B22" s="2"/>
      <c r="C22" s="2"/>
      <c r="D22" s="2"/>
      <c r="E22" s="2"/>
      <c r="F22" s="2"/>
      <c r="G22" s="2"/>
      <c r="H22" s="2"/>
      <c r="I22" s="2"/>
      <c r="J22" s="2"/>
      <c r="K22" s="2"/>
      <c r="L22" s="2"/>
      <c r="M22" s="2"/>
      <c r="N22" s="2"/>
      <c r="O22" s="2"/>
      <c r="P22" s="2"/>
      <c r="Q22" s="2"/>
      <c r="R22" s="2"/>
      <c r="S22" s="2"/>
      <c r="T22" s="2"/>
      <c r="U22" s="2"/>
      <c r="V22" s="2"/>
      <c r="W22" s="2"/>
      <c r="X22" s="2"/>
      <c r="Y22" s="2"/>
      <c r="Z22" s="2"/>
    </row>
    <row r="23" ht="26.4" spans="1:26">
      <c r="A23" s="3" t="s">
        <v>28</v>
      </c>
      <c r="B23" s="3" t="s">
        <v>28</v>
      </c>
      <c r="C23" s="3" t="s">
        <v>28</v>
      </c>
      <c r="D23" s="3" t="s">
        <v>182</v>
      </c>
      <c r="E23" s="2"/>
      <c r="F23" s="2"/>
      <c r="G23" s="2"/>
      <c r="H23" s="2"/>
      <c r="I23" s="2"/>
      <c r="J23" s="2"/>
      <c r="K23" s="2"/>
      <c r="L23" s="2"/>
      <c r="M23" s="2"/>
      <c r="N23" s="2"/>
      <c r="O23" s="2"/>
      <c r="P23" s="2"/>
      <c r="Q23" s="2"/>
      <c r="R23" s="2"/>
      <c r="S23" s="2"/>
      <c r="T23" s="2"/>
      <c r="U23" s="2"/>
      <c r="V23" s="2"/>
      <c r="W23" s="2"/>
      <c r="X23" s="2"/>
      <c r="Y23" s="2"/>
      <c r="Z23" s="2"/>
    </row>
    <row r="24" spans="1:26">
      <c r="A24" s="3" t="s">
        <v>11</v>
      </c>
      <c r="B24" s="3" t="s">
        <v>184</v>
      </c>
      <c r="C24" s="3" t="s">
        <v>14</v>
      </c>
      <c r="D24" s="4">
        <v>387901</v>
      </c>
      <c r="E24" s="2"/>
      <c r="F24" s="2"/>
      <c r="G24" s="2"/>
      <c r="H24" s="2"/>
      <c r="I24" s="2"/>
      <c r="J24" s="2"/>
      <c r="K24" s="2"/>
      <c r="L24" s="2"/>
      <c r="M24" s="2"/>
      <c r="N24" s="2"/>
      <c r="O24" s="2"/>
      <c r="P24" s="2"/>
      <c r="Q24" s="2"/>
      <c r="R24" s="2"/>
      <c r="S24" s="2"/>
      <c r="T24" s="2"/>
      <c r="U24" s="2"/>
      <c r="V24" s="2"/>
      <c r="W24" s="2"/>
      <c r="X24" s="2"/>
      <c r="Y24" s="2"/>
      <c r="Z24" s="2"/>
    </row>
    <row r="25" spans="1:26">
      <c r="A25" s="3" t="s">
        <v>11</v>
      </c>
      <c r="B25" s="3" t="s">
        <v>184</v>
      </c>
      <c r="C25" s="3" t="s">
        <v>16</v>
      </c>
      <c r="D25" s="5">
        <v>382958.57</v>
      </c>
      <c r="E25" s="2"/>
      <c r="F25" s="2"/>
      <c r="G25" s="2"/>
      <c r="H25" s="2"/>
      <c r="I25" s="2"/>
      <c r="J25" s="2"/>
      <c r="K25" s="2"/>
      <c r="L25" s="2"/>
      <c r="M25" s="2"/>
      <c r="N25" s="2"/>
      <c r="O25" s="2"/>
      <c r="P25" s="2"/>
      <c r="Q25" s="2"/>
      <c r="R25" s="2"/>
      <c r="S25" s="2"/>
      <c r="T25" s="2"/>
      <c r="U25" s="2"/>
      <c r="V25" s="2"/>
      <c r="W25" s="2"/>
      <c r="X25" s="2"/>
      <c r="Y25" s="2"/>
      <c r="Z25" s="2"/>
    </row>
    <row r="26" spans="1:26">
      <c r="A26" s="3" t="s">
        <v>11</v>
      </c>
      <c r="B26" s="3" t="s">
        <v>184</v>
      </c>
      <c r="C26" s="3" t="s">
        <v>17</v>
      </c>
      <c r="D26" s="5">
        <v>378439.93</v>
      </c>
      <c r="E26" s="2"/>
      <c r="F26" s="2"/>
      <c r="G26" s="2"/>
      <c r="H26" s="2"/>
      <c r="I26" s="2"/>
      <c r="J26" s="2"/>
      <c r="K26" s="2"/>
      <c r="L26" s="2"/>
      <c r="M26" s="2"/>
      <c r="N26" s="2"/>
      <c r="O26" s="2"/>
      <c r="P26" s="2"/>
      <c r="Q26" s="2"/>
      <c r="R26" s="2"/>
      <c r="S26" s="2"/>
      <c r="T26" s="2"/>
      <c r="U26" s="2"/>
      <c r="V26" s="2"/>
      <c r="W26" s="2"/>
      <c r="X26" s="2"/>
      <c r="Y26" s="2"/>
      <c r="Z26" s="2"/>
    </row>
    <row r="27" spans="1:26">
      <c r="A27" s="3" t="s">
        <v>11</v>
      </c>
      <c r="B27" s="3" t="s">
        <v>184</v>
      </c>
      <c r="C27" s="3" t="s">
        <v>18</v>
      </c>
      <c r="D27" s="5">
        <v>372588.6</v>
      </c>
      <c r="E27" s="2"/>
      <c r="F27" s="2"/>
      <c r="G27" s="2"/>
      <c r="H27" s="2"/>
      <c r="I27" s="2"/>
      <c r="J27" s="2"/>
      <c r="K27" s="2"/>
      <c r="L27" s="2"/>
      <c r="M27" s="2"/>
      <c r="N27" s="2"/>
      <c r="O27" s="2"/>
      <c r="P27" s="2"/>
      <c r="Q27" s="2"/>
      <c r="R27" s="2"/>
      <c r="S27" s="2"/>
      <c r="T27" s="2"/>
      <c r="U27" s="2"/>
      <c r="V27" s="2"/>
      <c r="W27" s="2"/>
      <c r="X27" s="2"/>
      <c r="Y27" s="2"/>
      <c r="Z27" s="2"/>
    </row>
    <row r="28" spans="1:26">
      <c r="A28" s="3" t="s">
        <v>11</v>
      </c>
      <c r="B28" s="3" t="s">
        <v>184</v>
      </c>
      <c r="C28" s="3" t="s">
        <v>19</v>
      </c>
      <c r="D28" s="5">
        <v>367143.8</v>
      </c>
      <c r="E28" s="2"/>
      <c r="F28" s="2"/>
      <c r="G28" s="2"/>
      <c r="H28" s="2"/>
      <c r="I28" s="2"/>
      <c r="J28" s="2"/>
      <c r="K28" s="2"/>
      <c r="L28" s="2"/>
      <c r="M28" s="2"/>
      <c r="N28" s="2"/>
      <c r="O28" s="2"/>
      <c r="P28" s="2"/>
      <c r="Q28" s="2"/>
      <c r="R28" s="2"/>
      <c r="S28" s="2"/>
      <c r="T28" s="2"/>
      <c r="U28" s="2"/>
      <c r="V28" s="2"/>
      <c r="W28" s="2"/>
      <c r="X28" s="2"/>
      <c r="Y28" s="2"/>
      <c r="Z28" s="2"/>
    </row>
    <row r="29" spans="1:26">
      <c r="A29" s="3" t="s">
        <v>11</v>
      </c>
      <c r="B29" s="3" t="s">
        <v>184</v>
      </c>
      <c r="C29" s="3" t="s">
        <v>20</v>
      </c>
      <c r="D29" s="5">
        <v>358101.7</v>
      </c>
      <c r="E29" s="2"/>
      <c r="F29" s="2"/>
      <c r="G29" s="2"/>
      <c r="H29" s="2"/>
      <c r="I29" s="2"/>
      <c r="J29" s="2"/>
      <c r="K29" s="2"/>
      <c r="L29" s="2"/>
      <c r="M29" s="2"/>
      <c r="N29" s="2"/>
      <c r="O29" s="2"/>
      <c r="P29" s="2"/>
      <c r="Q29" s="2"/>
      <c r="R29" s="2"/>
      <c r="S29" s="2"/>
      <c r="T29" s="2"/>
      <c r="U29" s="2"/>
      <c r="V29" s="2"/>
      <c r="W29" s="2"/>
      <c r="X29" s="2"/>
      <c r="Y29" s="2"/>
      <c r="Z29" s="2"/>
    </row>
    <row r="30" spans="1:26">
      <c r="A30" s="3" t="s">
        <v>11</v>
      </c>
      <c r="B30" s="3" t="s">
        <v>184</v>
      </c>
      <c r="C30" s="3" t="s">
        <v>21</v>
      </c>
      <c r="D30" s="5">
        <v>349791.3</v>
      </c>
      <c r="E30" s="2"/>
      <c r="F30" s="2"/>
      <c r="G30" s="2"/>
      <c r="H30" s="2"/>
      <c r="I30" s="2"/>
      <c r="J30" s="2"/>
      <c r="K30" s="2"/>
      <c r="L30" s="2"/>
      <c r="M30" s="2"/>
      <c r="N30" s="2"/>
      <c r="O30" s="2"/>
      <c r="P30" s="2"/>
      <c r="Q30" s="2"/>
      <c r="R30" s="2"/>
      <c r="S30" s="2"/>
      <c r="T30" s="2"/>
      <c r="U30" s="2"/>
      <c r="V30" s="2"/>
      <c r="W30" s="2"/>
      <c r="X30" s="2"/>
      <c r="Y30" s="2"/>
      <c r="Z30" s="2"/>
    </row>
    <row r="31" spans="1:26">
      <c r="A31" s="3" t="s">
        <v>11</v>
      </c>
      <c r="B31" s="3" t="s">
        <v>184</v>
      </c>
      <c r="C31" s="3" t="s">
        <v>22</v>
      </c>
      <c r="D31" s="5">
        <v>345700.1</v>
      </c>
      <c r="E31" s="2"/>
      <c r="F31" s="2"/>
      <c r="G31" s="2"/>
      <c r="H31" s="2"/>
      <c r="I31" s="2"/>
      <c r="J31" s="2"/>
      <c r="K31" s="2"/>
      <c r="L31" s="2"/>
      <c r="M31" s="2"/>
      <c r="N31" s="2"/>
      <c r="O31" s="2"/>
      <c r="P31" s="2"/>
      <c r="Q31" s="2"/>
      <c r="R31" s="2"/>
      <c r="S31" s="2"/>
      <c r="T31" s="2"/>
      <c r="U31" s="2"/>
      <c r="V31" s="2"/>
      <c r="W31" s="2"/>
      <c r="X31" s="2"/>
      <c r="Y31" s="2"/>
      <c r="Z31" s="2"/>
    </row>
    <row r="32" spans="1:26">
      <c r="A32" s="3" t="s">
        <v>11</v>
      </c>
      <c r="B32" s="3" t="s">
        <v>184</v>
      </c>
      <c r="C32" s="3" t="s">
        <v>23</v>
      </c>
      <c r="D32" s="5">
        <v>338736.1</v>
      </c>
      <c r="E32" s="2"/>
      <c r="F32" s="2"/>
      <c r="G32" s="2"/>
      <c r="H32" s="2"/>
      <c r="I32" s="2"/>
      <c r="J32" s="2"/>
      <c r="K32" s="2"/>
      <c r="L32" s="2"/>
      <c r="M32" s="2"/>
      <c r="N32" s="2"/>
      <c r="O32" s="2"/>
      <c r="P32" s="2"/>
      <c r="Q32" s="2"/>
      <c r="R32" s="2"/>
      <c r="S32" s="2"/>
      <c r="T32" s="2"/>
      <c r="U32" s="2"/>
      <c r="V32" s="2"/>
      <c r="W32" s="2"/>
      <c r="X32" s="2"/>
      <c r="Y32" s="2"/>
      <c r="Z32" s="2"/>
    </row>
    <row r="35" customHeight="1"/>
    <row r="36" customHeight="1" spans="1:26">
      <c r="A36" s="1" t="s">
        <v>186</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t="s">
        <v>28</v>
      </c>
      <c r="B37" s="2"/>
      <c r="C37" s="2"/>
      <c r="D37" s="2"/>
      <c r="E37" s="2"/>
      <c r="F37" s="2"/>
      <c r="G37" s="2"/>
      <c r="H37" s="2"/>
      <c r="I37" s="2"/>
      <c r="J37" s="2"/>
      <c r="K37" s="2"/>
      <c r="L37" s="2"/>
      <c r="M37" s="2"/>
      <c r="N37" s="2"/>
      <c r="O37" s="2"/>
      <c r="P37" s="2"/>
      <c r="Q37" s="2"/>
      <c r="R37" s="2"/>
      <c r="S37" s="2"/>
      <c r="T37" s="2"/>
      <c r="U37" s="2"/>
      <c r="V37" s="2"/>
      <c r="W37" s="2"/>
      <c r="X37" s="2"/>
      <c r="Y37" s="2"/>
      <c r="Z37" s="2"/>
    </row>
    <row r="38" ht="26.4" spans="1:26">
      <c r="A38" s="3" t="s">
        <v>28</v>
      </c>
      <c r="B38" s="3" t="s">
        <v>28</v>
      </c>
      <c r="C38" s="3" t="s">
        <v>28</v>
      </c>
      <c r="D38" s="3" t="s">
        <v>187</v>
      </c>
      <c r="E38" s="2"/>
      <c r="F38" s="2"/>
      <c r="G38" s="2"/>
      <c r="H38" s="2"/>
      <c r="I38" s="2"/>
      <c r="J38" s="2"/>
      <c r="K38" s="2"/>
      <c r="L38" s="2"/>
      <c r="M38" s="2"/>
      <c r="N38" s="2"/>
      <c r="O38" s="2"/>
      <c r="P38" s="2"/>
      <c r="Q38" s="2"/>
      <c r="R38" s="2"/>
      <c r="S38" s="2"/>
      <c r="T38" s="2"/>
      <c r="U38" s="2"/>
      <c r="V38" s="2"/>
      <c r="W38" s="2"/>
      <c r="X38" s="2"/>
      <c r="Y38" s="2"/>
      <c r="Z38" s="2"/>
    </row>
    <row r="39" spans="1:26">
      <c r="A39" s="3" t="s">
        <v>14</v>
      </c>
      <c r="B39" s="3" t="s">
        <v>188</v>
      </c>
      <c r="C39" s="3" t="s">
        <v>189</v>
      </c>
      <c r="D39" s="4">
        <v>8565</v>
      </c>
      <c r="E39" s="2"/>
      <c r="F39" s="2"/>
      <c r="G39" s="2"/>
      <c r="H39" s="2"/>
      <c r="I39" s="2"/>
      <c r="J39" s="2"/>
      <c r="K39" s="2"/>
      <c r="L39" s="2"/>
      <c r="M39" s="2"/>
      <c r="N39" s="2"/>
      <c r="O39" s="2"/>
      <c r="P39" s="2"/>
      <c r="Q39" s="2"/>
      <c r="R39" s="2"/>
      <c r="S39" s="2"/>
      <c r="T39" s="2"/>
      <c r="U39" s="2"/>
      <c r="V39" s="2"/>
      <c r="W39" s="2"/>
      <c r="X39" s="2"/>
      <c r="Y39" s="2"/>
      <c r="Z39" s="2"/>
    </row>
    <row r="40" spans="1:26">
      <c r="A40" s="3" t="s">
        <v>16</v>
      </c>
      <c r="B40" s="3" t="s">
        <v>188</v>
      </c>
      <c r="C40" s="3" t="s">
        <v>189</v>
      </c>
      <c r="D40" s="4">
        <v>8406</v>
      </c>
      <c r="E40" s="2"/>
      <c r="F40" s="2"/>
      <c r="G40" s="2"/>
      <c r="H40" s="2"/>
      <c r="I40" s="2"/>
      <c r="J40" s="2"/>
      <c r="K40" s="2"/>
      <c r="L40" s="2"/>
      <c r="M40" s="2"/>
      <c r="N40" s="2"/>
      <c r="O40" s="2"/>
      <c r="P40" s="2"/>
      <c r="Q40" s="2"/>
      <c r="R40" s="2"/>
      <c r="S40" s="2"/>
      <c r="T40" s="2"/>
      <c r="U40" s="2"/>
      <c r="V40" s="2"/>
      <c r="W40" s="2"/>
      <c r="X40" s="2"/>
      <c r="Y40" s="2"/>
      <c r="Z40" s="2"/>
    </row>
    <row r="41" spans="1:26">
      <c r="A41" s="3" t="s">
        <v>17</v>
      </c>
      <c r="B41" s="3" t="s">
        <v>188</v>
      </c>
      <c r="C41" s="3" t="s">
        <v>189</v>
      </c>
      <c r="D41" s="4">
        <v>8392</v>
      </c>
      <c r="E41" s="2"/>
      <c r="F41" s="2"/>
      <c r="G41" s="2"/>
      <c r="H41" s="2"/>
      <c r="I41" s="2"/>
      <c r="J41" s="2"/>
      <c r="K41" s="2"/>
      <c r="L41" s="2"/>
      <c r="M41" s="2"/>
      <c r="N41" s="2"/>
      <c r="O41" s="2"/>
      <c r="P41" s="2"/>
      <c r="Q41" s="2"/>
      <c r="R41" s="2"/>
      <c r="S41" s="2"/>
      <c r="T41" s="2"/>
      <c r="U41" s="2"/>
      <c r="V41" s="2"/>
      <c r="W41" s="2"/>
      <c r="X41" s="2"/>
      <c r="Y41" s="2"/>
      <c r="Z41" s="2"/>
    </row>
    <row r="42" spans="1:26">
      <c r="A42" s="3" t="s">
        <v>18</v>
      </c>
      <c r="B42" s="3" t="s">
        <v>188</v>
      </c>
      <c r="C42" s="3" t="s">
        <v>189</v>
      </c>
      <c r="D42" s="4">
        <v>22294</v>
      </c>
      <c r="E42" s="2"/>
      <c r="F42" s="2"/>
      <c r="G42" s="2"/>
      <c r="H42" s="2"/>
      <c r="I42" s="2"/>
      <c r="J42" s="2"/>
      <c r="K42" s="2"/>
      <c r="L42" s="2"/>
      <c r="M42" s="2"/>
      <c r="N42" s="2"/>
      <c r="O42" s="2"/>
      <c r="P42" s="2"/>
      <c r="Q42" s="2"/>
      <c r="R42" s="2"/>
      <c r="S42" s="2"/>
      <c r="T42" s="2"/>
      <c r="U42" s="2"/>
      <c r="V42" s="2"/>
      <c r="W42" s="2"/>
      <c r="X42" s="2"/>
      <c r="Y42" s="2"/>
      <c r="Z42" s="2"/>
    </row>
    <row r="43" spans="1:26">
      <c r="A43" s="3" t="s">
        <v>19</v>
      </c>
      <c r="B43" s="3" t="s">
        <v>188</v>
      </c>
      <c r="C43" s="3" t="s">
        <v>189</v>
      </c>
      <c r="D43" s="4">
        <v>8765</v>
      </c>
      <c r="E43" s="2"/>
      <c r="F43" s="2"/>
      <c r="G43" s="2"/>
      <c r="H43" s="2"/>
      <c r="I43" s="2"/>
      <c r="J43" s="2"/>
      <c r="K43" s="2"/>
      <c r="L43" s="2"/>
      <c r="M43" s="2"/>
      <c r="N43" s="2"/>
      <c r="O43" s="2"/>
      <c r="P43" s="2"/>
      <c r="Q43" s="2"/>
      <c r="R43" s="2"/>
      <c r="S43" s="2"/>
      <c r="T43" s="2"/>
      <c r="U43" s="2"/>
      <c r="V43" s="2"/>
      <c r="W43" s="2"/>
      <c r="X43" s="2"/>
      <c r="Y43" s="2"/>
      <c r="Z43" s="2"/>
    </row>
    <row r="44" spans="1:26">
      <c r="A44" s="3" t="s">
        <v>20</v>
      </c>
      <c r="B44" s="3" t="s">
        <v>188</v>
      </c>
      <c r="C44" s="3" t="s">
        <v>189</v>
      </c>
      <c r="D44" s="4">
        <v>7070</v>
      </c>
      <c r="E44" s="2"/>
      <c r="F44" s="2"/>
      <c r="G44" s="2"/>
      <c r="H44" s="2"/>
      <c r="I44" s="2"/>
      <c r="J44" s="2"/>
      <c r="K44" s="2"/>
      <c r="L44" s="2"/>
      <c r="M44" s="2"/>
      <c r="N44" s="2"/>
      <c r="O44" s="2"/>
      <c r="P44" s="2"/>
      <c r="Q44" s="2"/>
      <c r="R44" s="2"/>
      <c r="S44" s="2"/>
      <c r="T44" s="2"/>
      <c r="U44" s="2"/>
      <c r="V44" s="2"/>
      <c r="W44" s="2"/>
      <c r="X44" s="2"/>
      <c r="Y44" s="2"/>
      <c r="Z44" s="2"/>
    </row>
    <row r="45" spans="1:26">
      <c r="A45" s="3" t="s">
        <v>21</v>
      </c>
      <c r="B45" s="3" t="s">
        <v>188</v>
      </c>
      <c r="C45" s="3" t="s">
        <v>189</v>
      </c>
      <c r="D45" s="4">
        <v>5179</v>
      </c>
      <c r="E45" s="2"/>
      <c r="F45" s="2"/>
      <c r="G45" s="2"/>
      <c r="H45" s="2"/>
      <c r="I45" s="2"/>
      <c r="J45" s="2"/>
      <c r="K45" s="2"/>
      <c r="L45" s="2"/>
      <c r="M45" s="2"/>
      <c r="N45" s="2"/>
      <c r="O45" s="2"/>
      <c r="P45" s="2"/>
      <c r="Q45" s="2"/>
      <c r="R45" s="2"/>
      <c r="S45" s="2"/>
      <c r="T45" s="2"/>
      <c r="U45" s="2"/>
      <c r="V45" s="2"/>
      <c r="W45" s="2"/>
      <c r="X45" s="2"/>
      <c r="Y45" s="2"/>
      <c r="Z45" s="2"/>
    </row>
    <row r="46" spans="1:26">
      <c r="A46" s="3" t="s">
        <v>22</v>
      </c>
      <c r="B46" s="3" t="s">
        <v>188</v>
      </c>
      <c r="C46" s="3" t="s">
        <v>189</v>
      </c>
      <c r="D46" s="4">
        <v>4013</v>
      </c>
      <c r="E46" s="2"/>
      <c r="F46" s="2"/>
      <c r="G46" s="2"/>
      <c r="H46" s="2"/>
      <c r="I46" s="2"/>
      <c r="J46" s="2"/>
      <c r="K46" s="2"/>
      <c r="L46" s="2"/>
      <c r="M46" s="2"/>
      <c r="N46" s="2"/>
      <c r="O46" s="2"/>
      <c r="P46" s="2"/>
      <c r="Q46" s="2"/>
      <c r="R46" s="2"/>
      <c r="S46" s="2"/>
      <c r="T46" s="2"/>
      <c r="U46" s="2"/>
      <c r="V46" s="2"/>
      <c r="W46" s="2"/>
      <c r="X46" s="2"/>
      <c r="Y46" s="2"/>
      <c r="Z46" s="2"/>
    </row>
    <row r="48" spans="1:26">
      <c r="A48" s="6" t="s">
        <v>190</v>
      </c>
      <c r="B48" s="6"/>
      <c r="C48" s="6"/>
      <c r="D48" s="6"/>
    </row>
    <row r="49" spans="1:5">
      <c r="A49" s="7" t="s">
        <v>14</v>
      </c>
      <c r="B49" s="8" t="s">
        <v>187</v>
      </c>
      <c r="C49" s="9" t="s">
        <v>191</v>
      </c>
    </row>
    <row r="50" spans="1:5">
      <c r="A50" s="7" t="s">
        <v>16</v>
      </c>
      <c r="B50" s="8" t="s">
        <v>187</v>
      </c>
      <c r="C50" s="9" t="s">
        <v>192</v>
      </c>
    </row>
    <row r="51" spans="1:5">
      <c r="A51" s="7" t="s">
        <v>17</v>
      </c>
      <c r="B51" s="8" t="s">
        <v>187</v>
      </c>
      <c r="C51" s="9" t="s">
        <v>193</v>
      </c>
    </row>
    <row r="52" spans="1:5">
      <c r="A52" s="7" t="s">
        <v>18</v>
      </c>
      <c r="B52" s="8" t="s">
        <v>187</v>
      </c>
      <c r="C52" s="9" t="s">
        <v>194</v>
      </c>
    </row>
    <row r="53" spans="1:5">
      <c r="A53" s="7" t="s">
        <v>19</v>
      </c>
      <c r="B53" s="8" t="s">
        <v>187</v>
      </c>
      <c r="C53" s="9" t="s">
        <v>195</v>
      </c>
    </row>
    <row r="54" spans="1:5">
      <c r="A54" s="7" t="s">
        <v>20</v>
      </c>
      <c r="B54" s="8" t="s">
        <v>187</v>
      </c>
      <c r="C54" s="9" t="s">
        <v>196</v>
      </c>
    </row>
    <row r="55" spans="1:5">
      <c r="A55" s="7" t="s">
        <v>21</v>
      </c>
      <c r="B55" s="8" t="s">
        <v>187</v>
      </c>
      <c r="C55" s="9" t="s">
        <v>197</v>
      </c>
    </row>
    <row r="56" spans="1:5">
      <c r="A56" s="7" t="s">
        <v>22</v>
      </c>
      <c r="B56" s="8" t="s">
        <v>187</v>
      </c>
      <c r="C56" s="9" t="s">
        <v>198</v>
      </c>
    </row>
    <row r="58" spans="1:5">
      <c r="A58" s="6" t="s">
        <v>199</v>
      </c>
      <c r="B58" s="6"/>
      <c r="C58" s="6"/>
      <c r="D58" s="6"/>
      <c r="E58" s="6"/>
    </row>
    <row r="59" ht="13.95" spans="1:5">
      <c r="A59" s="7" t="s">
        <v>14</v>
      </c>
      <c r="B59" s="8" t="s">
        <v>187</v>
      </c>
      <c r="C59" s="10">
        <v>1165750</v>
      </c>
    </row>
    <row r="60" ht="13.95" spans="1:5">
      <c r="A60" s="7" t="s">
        <v>16</v>
      </c>
      <c r="B60" s="8" t="s">
        <v>187</v>
      </c>
      <c r="C60" s="11">
        <v>1155028</v>
      </c>
    </row>
    <row r="61" ht="13.95" spans="1:5">
      <c r="A61" s="7" t="s">
        <v>17</v>
      </c>
      <c r="B61" s="8" t="s">
        <v>187</v>
      </c>
      <c r="C61" s="12" t="s">
        <v>200</v>
      </c>
    </row>
    <row r="62" ht="13.95" spans="1:5">
      <c r="A62" s="7" t="s">
        <v>18</v>
      </c>
      <c r="B62" s="8" t="s">
        <v>187</v>
      </c>
      <c r="C62" s="12" t="s">
        <v>201</v>
      </c>
    </row>
    <row r="63" ht="13.95" spans="1:5">
      <c r="A63" s="7" t="s">
        <v>19</v>
      </c>
      <c r="B63" s="8" t="s">
        <v>187</v>
      </c>
      <c r="C63" s="12" t="s">
        <v>202</v>
      </c>
    </row>
    <row r="64" ht="13.95" spans="1:5">
      <c r="A64" s="7" t="s">
        <v>20</v>
      </c>
      <c r="B64" s="8" t="s">
        <v>187</v>
      </c>
      <c r="C64" s="12" t="s">
        <v>203</v>
      </c>
    </row>
    <row r="65" ht="13.95" spans="1:26">
      <c r="A65" s="7" t="s">
        <v>21</v>
      </c>
      <c r="B65" s="8" t="s">
        <v>187</v>
      </c>
      <c r="C65" s="12" t="s">
        <v>204</v>
      </c>
    </row>
    <row r="66" ht="13.95" spans="1:26">
      <c r="A66" s="7" t="s">
        <v>22</v>
      </c>
      <c r="B66" s="8" t="s">
        <v>187</v>
      </c>
      <c r="C66" s="12" t="s">
        <v>205</v>
      </c>
    </row>
    <row r="70" spans="1:26">
      <c r="A70" s="1" t="s">
        <v>206</v>
      </c>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t="s">
        <v>28</v>
      </c>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3" t="s">
        <v>28</v>
      </c>
      <c r="B72" s="3" t="s">
        <v>187</v>
      </c>
      <c r="C72" s="2"/>
      <c r="D72" s="2"/>
      <c r="E72" s="2"/>
      <c r="F72" s="2"/>
      <c r="G72" s="2"/>
      <c r="H72" s="2"/>
      <c r="I72" s="2"/>
      <c r="J72" s="2"/>
      <c r="K72" s="2"/>
      <c r="L72" s="2"/>
      <c r="M72" s="2"/>
      <c r="N72" s="2"/>
      <c r="O72" s="2"/>
      <c r="P72" s="2"/>
      <c r="Q72" s="2"/>
      <c r="R72" s="2"/>
      <c r="S72" s="2"/>
      <c r="T72" s="2"/>
      <c r="U72" s="2"/>
      <c r="V72" s="2"/>
      <c r="W72" s="2"/>
      <c r="X72" s="2"/>
      <c r="Y72" s="2"/>
      <c r="Z72" s="2"/>
    </row>
    <row r="73" spans="1:26">
      <c r="A73" s="3" t="s">
        <v>28</v>
      </c>
      <c r="B73" s="3" t="s">
        <v>11</v>
      </c>
      <c r="C73" s="2"/>
      <c r="D73" s="2"/>
      <c r="E73" s="2"/>
      <c r="F73" s="2"/>
      <c r="G73" s="2"/>
      <c r="H73" s="2"/>
      <c r="I73" s="2"/>
      <c r="J73" s="2"/>
      <c r="K73" s="2"/>
      <c r="L73" s="2"/>
      <c r="M73" s="2"/>
      <c r="N73" s="2"/>
      <c r="O73" s="2"/>
      <c r="P73" s="2"/>
      <c r="Q73" s="2"/>
      <c r="R73" s="2"/>
      <c r="S73" s="2"/>
      <c r="T73" s="2"/>
      <c r="U73" s="2"/>
      <c r="V73" s="2"/>
      <c r="W73" s="2"/>
      <c r="X73" s="2"/>
      <c r="Y73" s="2"/>
      <c r="Z73" s="2"/>
    </row>
    <row r="74" spans="1:26">
      <c r="A74" s="3" t="s">
        <v>14</v>
      </c>
      <c r="B74" s="4">
        <v>527933</v>
      </c>
      <c r="C74" s="2"/>
      <c r="D74" s="2"/>
      <c r="E74" s="2"/>
      <c r="F74" s="2"/>
      <c r="G74" s="2"/>
      <c r="H74" s="2"/>
      <c r="I74" s="2"/>
      <c r="J74" s="2"/>
      <c r="K74" s="2"/>
      <c r="L74" s="2"/>
      <c r="M74" s="2"/>
      <c r="N74" s="2"/>
      <c r="O74" s="2"/>
      <c r="P74" s="2"/>
      <c r="Q74" s="2"/>
      <c r="R74" s="2"/>
      <c r="S74" s="2"/>
      <c r="T74" s="2"/>
      <c r="U74" s="2"/>
      <c r="V74" s="2"/>
      <c r="W74" s="2"/>
      <c r="X74" s="2"/>
      <c r="Y74" s="2"/>
      <c r="Z74" s="2"/>
    </row>
    <row r="75" spans="1:26">
      <c r="A75" s="3" t="s">
        <v>16</v>
      </c>
      <c r="B75" s="4">
        <v>509436</v>
      </c>
      <c r="C75" s="2"/>
      <c r="D75" s="2"/>
      <c r="E75" s="2"/>
      <c r="F75" s="2"/>
      <c r="G75" s="2"/>
      <c r="H75" s="2"/>
      <c r="I75" s="2"/>
      <c r="J75" s="2"/>
      <c r="K75" s="2"/>
      <c r="L75" s="2"/>
      <c r="M75" s="2"/>
      <c r="N75" s="2"/>
      <c r="O75" s="2"/>
      <c r="P75" s="2"/>
      <c r="Q75" s="2"/>
      <c r="R75" s="2"/>
      <c r="S75" s="2"/>
      <c r="T75" s="2"/>
      <c r="U75" s="2"/>
      <c r="V75" s="2"/>
      <c r="W75" s="2"/>
      <c r="X75" s="2"/>
      <c r="Y75" s="2"/>
      <c r="Z75" s="2"/>
    </row>
    <row r="76" spans="1:26">
      <c r="A76" s="3" t="s">
        <v>17</v>
      </c>
      <c r="B76" s="4">
        <v>485703</v>
      </c>
      <c r="C76" s="2"/>
      <c r="D76" s="2"/>
      <c r="E76" s="2"/>
      <c r="F76" s="2"/>
      <c r="G76" s="2"/>
      <c r="H76" s="2"/>
      <c r="I76" s="2"/>
      <c r="J76" s="2"/>
      <c r="K76" s="2"/>
      <c r="L76" s="2"/>
      <c r="M76" s="2"/>
      <c r="N76" s="2"/>
      <c r="O76" s="2"/>
      <c r="P76" s="2"/>
      <c r="Q76" s="2"/>
      <c r="R76" s="2"/>
      <c r="S76" s="2"/>
      <c r="T76" s="2"/>
      <c r="U76" s="2"/>
      <c r="V76" s="2"/>
      <c r="W76" s="2"/>
      <c r="X76" s="2"/>
      <c r="Y76" s="2"/>
      <c r="Z76" s="2"/>
    </row>
    <row r="77" spans="1:26">
      <c r="A77" s="3" t="s">
        <v>18</v>
      </c>
      <c r="B77" s="4">
        <v>469470</v>
      </c>
      <c r="C77" s="2"/>
      <c r="D77" s="2"/>
      <c r="E77" s="2"/>
      <c r="F77" s="2"/>
      <c r="G77" s="2"/>
      <c r="H77" s="2"/>
      <c r="I77" s="2"/>
      <c r="J77" s="2"/>
      <c r="K77" s="2"/>
      <c r="L77" s="2"/>
      <c r="M77" s="2"/>
      <c r="N77" s="2"/>
      <c r="O77" s="2"/>
      <c r="P77" s="2"/>
      <c r="Q77" s="2"/>
      <c r="R77" s="2"/>
      <c r="S77" s="2"/>
      <c r="T77" s="2"/>
      <c r="U77" s="2"/>
      <c r="V77" s="2"/>
      <c r="W77" s="2"/>
      <c r="X77" s="2"/>
      <c r="Y77" s="2"/>
      <c r="Z77" s="2"/>
    </row>
    <row r="78" spans="1:26">
      <c r="A78" s="3" t="s">
        <v>19</v>
      </c>
      <c r="B78" s="4">
        <v>475189</v>
      </c>
      <c r="C78" s="2"/>
      <c r="D78" s="2"/>
      <c r="E78" s="2"/>
      <c r="F78" s="2"/>
      <c r="G78" s="2"/>
      <c r="H78" s="2"/>
      <c r="I78" s="2"/>
      <c r="J78" s="2"/>
      <c r="K78" s="2"/>
      <c r="L78" s="2"/>
      <c r="M78" s="2"/>
      <c r="N78" s="2"/>
      <c r="O78" s="2"/>
      <c r="P78" s="2"/>
      <c r="Q78" s="2"/>
      <c r="R78" s="2"/>
      <c r="S78" s="2"/>
      <c r="T78" s="2"/>
      <c r="U78" s="2"/>
      <c r="V78" s="2"/>
      <c r="W78" s="2"/>
      <c r="X78" s="2"/>
      <c r="Y78" s="2"/>
      <c r="Z78" s="2"/>
    </row>
    <row r="79" spans="1:26">
      <c r="A79" s="3" t="s">
        <v>20</v>
      </c>
      <c r="B79" s="4">
        <v>470050</v>
      </c>
      <c r="C79" s="2"/>
      <c r="D79" s="2"/>
      <c r="E79" s="2"/>
      <c r="F79" s="2"/>
      <c r="G79" s="2"/>
      <c r="H79" s="2"/>
      <c r="I79" s="2"/>
      <c r="J79" s="2"/>
      <c r="K79" s="2"/>
      <c r="L79" s="2"/>
      <c r="M79" s="2"/>
      <c r="N79" s="2"/>
      <c r="O79" s="2"/>
      <c r="P79" s="2"/>
      <c r="Q79" s="2"/>
      <c r="R79" s="2"/>
      <c r="S79" s="2"/>
      <c r="T79" s="2"/>
      <c r="U79" s="2"/>
      <c r="V79" s="2"/>
      <c r="W79" s="2"/>
      <c r="X79" s="2"/>
      <c r="Y79" s="2"/>
      <c r="Z79" s="2"/>
    </row>
    <row r="80" spans="1:26">
      <c r="A80" s="3" t="s">
        <v>21</v>
      </c>
      <c r="B80" s="4">
        <v>460479</v>
      </c>
      <c r="C80" s="2"/>
      <c r="D80" s="2"/>
      <c r="E80" s="2"/>
      <c r="F80" s="2"/>
      <c r="G80" s="2"/>
      <c r="H80" s="2"/>
      <c r="I80" s="2"/>
      <c r="J80" s="2"/>
      <c r="K80" s="2"/>
      <c r="L80" s="2"/>
      <c r="M80" s="2"/>
      <c r="N80" s="2"/>
      <c r="O80" s="2"/>
      <c r="P80" s="2"/>
      <c r="Q80" s="2"/>
      <c r="R80" s="2"/>
      <c r="S80" s="2"/>
      <c r="T80" s="2"/>
      <c r="U80" s="2"/>
      <c r="V80" s="2"/>
      <c r="W80" s="2"/>
      <c r="X80" s="2"/>
      <c r="Y80" s="2"/>
      <c r="Z80" s="2"/>
    </row>
    <row r="81" spans="1:26">
      <c r="A81" s="3" t="s">
        <v>22</v>
      </c>
      <c r="B81" s="4">
        <v>457186</v>
      </c>
      <c r="C81" s="2"/>
      <c r="D81" s="2"/>
      <c r="E81" s="2"/>
      <c r="F81" s="2"/>
      <c r="G81" s="2"/>
      <c r="H81" s="2"/>
      <c r="I81" s="2"/>
      <c r="J81" s="2"/>
      <c r="K81" s="2"/>
      <c r="L81" s="2"/>
      <c r="M81" s="2"/>
      <c r="N81" s="2"/>
      <c r="O81" s="2"/>
      <c r="P81" s="2"/>
      <c r="Q81" s="2"/>
      <c r="R81" s="2"/>
      <c r="S81" s="2"/>
      <c r="T81" s="2"/>
      <c r="U81" s="2"/>
      <c r="V81" s="2"/>
      <c r="W81" s="2"/>
      <c r="X81" s="2"/>
      <c r="Y81" s="2"/>
      <c r="Z81" s="2"/>
    </row>
    <row r="85" spans="1:26">
      <c r="A85" s="1" t="s">
        <v>207</v>
      </c>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t="s">
        <v>28</v>
      </c>
      <c r="B86" s="2"/>
      <c r="C86" s="2"/>
      <c r="D86" s="2"/>
      <c r="E86" s="2"/>
      <c r="F86" s="2"/>
      <c r="G86" s="2"/>
      <c r="H86" s="2"/>
      <c r="I86" s="2"/>
      <c r="J86" s="2"/>
      <c r="K86" s="2"/>
      <c r="L86" s="2"/>
      <c r="M86" s="2"/>
      <c r="N86" s="2"/>
      <c r="O86" s="2"/>
      <c r="P86" s="2"/>
      <c r="Q86" s="2"/>
      <c r="R86" s="2"/>
      <c r="S86" s="2"/>
      <c r="T86" s="2"/>
      <c r="U86" s="2"/>
      <c r="V86" s="2"/>
      <c r="W86" s="2"/>
      <c r="X86" s="2"/>
      <c r="Y86" s="2"/>
      <c r="Z86" s="2"/>
    </row>
    <row r="87" ht="92.4" spans="1:26">
      <c r="A87" s="3" t="s">
        <v>28</v>
      </c>
      <c r="B87" s="3" t="s">
        <v>28</v>
      </c>
      <c r="C87" s="3" t="s">
        <v>28</v>
      </c>
      <c r="D87" s="3" t="s">
        <v>11</v>
      </c>
      <c r="E87" s="2"/>
      <c r="F87" s="2"/>
      <c r="G87" s="2"/>
      <c r="H87" s="2"/>
      <c r="I87" s="2"/>
      <c r="J87" s="2"/>
      <c r="K87" s="2"/>
      <c r="L87" s="2"/>
      <c r="M87" s="2"/>
      <c r="N87" s="2"/>
      <c r="O87" s="2"/>
      <c r="P87" s="2"/>
      <c r="Q87" s="2"/>
      <c r="R87" s="2"/>
      <c r="S87" s="2"/>
      <c r="T87" s="2"/>
      <c r="U87" s="2"/>
      <c r="V87" s="2"/>
      <c r="W87" s="2"/>
      <c r="X87" s="2"/>
      <c r="Y87" s="2"/>
      <c r="Z87" s="2"/>
    </row>
    <row r="88" spans="1:26">
      <c r="A88" s="3" t="s">
        <v>208</v>
      </c>
      <c r="B88" s="3" t="s">
        <v>184</v>
      </c>
      <c r="C88" s="3" t="s">
        <v>14</v>
      </c>
      <c r="D88" s="5">
        <v>42949.7</v>
      </c>
      <c r="E88" s="2"/>
      <c r="F88" s="2"/>
      <c r="G88" s="2"/>
      <c r="H88" s="2"/>
      <c r="I88" s="2"/>
      <c r="J88" s="2"/>
      <c r="K88" s="2"/>
      <c r="L88" s="2"/>
      <c r="M88" s="2"/>
      <c r="N88" s="2"/>
      <c r="O88" s="2"/>
      <c r="P88" s="2"/>
      <c r="Q88" s="2"/>
      <c r="R88" s="2"/>
      <c r="S88" s="2"/>
      <c r="T88" s="2"/>
      <c r="U88" s="2"/>
      <c r="V88" s="2"/>
      <c r="W88" s="2"/>
      <c r="X88" s="2"/>
      <c r="Y88" s="2"/>
      <c r="Z88" s="2"/>
    </row>
    <row r="89" spans="1:26">
      <c r="A89" s="3" t="s">
        <v>208</v>
      </c>
      <c r="B89" s="3" t="s">
        <v>184</v>
      </c>
      <c r="C89" s="3" t="s">
        <v>16</v>
      </c>
      <c r="D89" s="5">
        <v>48306.6</v>
      </c>
      <c r="E89" s="2"/>
      <c r="F89" s="2"/>
      <c r="G89" s="2"/>
      <c r="H89" s="2"/>
      <c r="I89" s="2"/>
      <c r="J89" s="2"/>
      <c r="K89" s="2"/>
      <c r="L89" s="2"/>
      <c r="M89" s="2"/>
      <c r="N89" s="2"/>
      <c r="O89" s="2"/>
      <c r="P89" s="2"/>
      <c r="Q89" s="2"/>
      <c r="R89" s="2"/>
      <c r="S89" s="2"/>
      <c r="T89" s="2"/>
      <c r="U89" s="2"/>
      <c r="V89" s="2"/>
      <c r="W89" s="2"/>
      <c r="X89" s="2"/>
      <c r="Y89" s="2"/>
      <c r="Z89" s="2"/>
    </row>
    <row r="90" spans="1:26">
      <c r="A90" s="3" t="s">
        <v>208</v>
      </c>
      <c r="B90" s="3" t="s">
        <v>184</v>
      </c>
      <c r="C90" s="3" t="s">
        <v>17</v>
      </c>
      <c r="D90" s="5">
        <v>52434.2</v>
      </c>
      <c r="E90" s="2"/>
      <c r="F90" s="2"/>
      <c r="G90" s="2"/>
      <c r="H90" s="2"/>
      <c r="I90" s="2"/>
      <c r="J90" s="2"/>
      <c r="K90" s="2"/>
      <c r="L90" s="2"/>
      <c r="M90" s="2"/>
      <c r="N90" s="2"/>
      <c r="O90" s="2"/>
      <c r="P90" s="2"/>
      <c r="Q90" s="2"/>
      <c r="R90" s="2"/>
      <c r="S90" s="2"/>
      <c r="T90" s="2"/>
      <c r="U90" s="2"/>
      <c r="V90" s="2"/>
      <c r="W90" s="2"/>
      <c r="X90" s="2"/>
      <c r="Y90" s="2"/>
      <c r="Z90" s="2"/>
    </row>
    <row r="91" spans="1:26">
      <c r="A91" s="3" t="s">
        <v>208</v>
      </c>
      <c r="B91" s="3" t="s">
        <v>184</v>
      </c>
      <c r="C91" s="3" t="s">
        <v>18</v>
      </c>
      <c r="D91" s="5">
        <v>55890.8</v>
      </c>
      <c r="E91" s="2"/>
      <c r="F91" s="2"/>
      <c r="G91" s="2"/>
      <c r="H91" s="2"/>
      <c r="I91" s="2"/>
      <c r="J91" s="2"/>
      <c r="K91" s="2"/>
      <c r="L91" s="2"/>
      <c r="M91" s="2"/>
      <c r="N91" s="2"/>
      <c r="O91" s="2"/>
      <c r="P91" s="2"/>
      <c r="Q91" s="2"/>
      <c r="R91" s="2"/>
      <c r="S91" s="2"/>
      <c r="T91" s="2"/>
      <c r="U91" s="2"/>
      <c r="V91" s="2"/>
      <c r="W91" s="2"/>
      <c r="X91" s="2"/>
      <c r="Y91" s="2"/>
      <c r="Z91" s="2"/>
    </row>
    <row r="92" spans="1:26">
      <c r="A92" s="3" t="s">
        <v>208</v>
      </c>
      <c r="B92" s="3" t="s">
        <v>184</v>
      </c>
      <c r="C92" s="3" t="s">
        <v>19</v>
      </c>
      <c r="D92" s="5">
        <v>60884.8</v>
      </c>
      <c r="E92" s="2"/>
      <c r="F92" s="2"/>
      <c r="G92" s="2"/>
      <c r="H92" s="2"/>
      <c r="I92" s="2"/>
      <c r="J92" s="2"/>
      <c r="K92" s="2"/>
      <c r="L92" s="2"/>
      <c r="M92" s="2"/>
      <c r="N92" s="2"/>
      <c r="O92" s="2"/>
      <c r="P92" s="2"/>
      <c r="Q92" s="2"/>
      <c r="R92" s="2"/>
      <c r="S92" s="2"/>
      <c r="T92" s="2"/>
      <c r="U92" s="2"/>
      <c r="V92" s="2"/>
      <c r="W92" s="2"/>
      <c r="X92" s="2"/>
      <c r="Y92" s="2"/>
      <c r="Z92" s="2"/>
    </row>
    <row r="93" spans="1:26">
      <c r="A93" s="3" t="s">
        <v>208</v>
      </c>
      <c r="B93" s="3" t="s">
        <v>184</v>
      </c>
      <c r="C93" s="3" t="s">
        <v>20</v>
      </c>
      <c r="D93" s="5">
        <v>67834.8</v>
      </c>
      <c r="E93" s="2"/>
      <c r="F93" s="2"/>
      <c r="G93" s="2"/>
      <c r="H93" s="2"/>
      <c r="I93" s="2"/>
      <c r="J93" s="2"/>
      <c r="K93" s="2"/>
      <c r="L93" s="2"/>
      <c r="M93" s="2"/>
      <c r="N93" s="2"/>
      <c r="O93" s="2"/>
      <c r="P93" s="2"/>
      <c r="Q93" s="2"/>
      <c r="R93" s="2"/>
      <c r="S93" s="2"/>
      <c r="T93" s="2"/>
      <c r="U93" s="2"/>
      <c r="V93" s="2"/>
      <c r="W93" s="2"/>
      <c r="X93" s="2"/>
      <c r="Y93" s="2"/>
      <c r="Z93" s="2"/>
    </row>
    <row r="94" spans="1:26">
      <c r="A94" s="3" t="s">
        <v>208</v>
      </c>
      <c r="B94" s="3" t="s">
        <v>184</v>
      </c>
      <c r="C94" s="3" t="s">
        <v>21</v>
      </c>
      <c r="D94" s="5">
        <v>76367.9</v>
      </c>
      <c r="E94" s="2"/>
      <c r="F94" s="2"/>
      <c r="G94" s="2"/>
      <c r="H94" s="2"/>
      <c r="I94" s="2"/>
      <c r="J94" s="2"/>
      <c r="K94" s="2"/>
      <c r="L94" s="2"/>
      <c r="M94" s="2"/>
      <c r="N94" s="2"/>
      <c r="O94" s="2"/>
      <c r="P94" s="2"/>
      <c r="Q94" s="2"/>
      <c r="R94" s="2"/>
      <c r="S94" s="2"/>
      <c r="T94" s="2"/>
      <c r="U94" s="2"/>
      <c r="V94" s="2"/>
      <c r="W94" s="2"/>
      <c r="X94" s="2"/>
      <c r="Y94" s="2"/>
      <c r="Z94" s="2"/>
    </row>
    <row r="95" spans="1:26">
      <c r="A95" s="3" t="s">
        <v>208</v>
      </c>
      <c r="B95" s="3" t="s">
        <v>184</v>
      </c>
      <c r="C95" s="3" t="s">
        <v>22</v>
      </c>
      <c r="D95" s="5">
        <v>86404.1</v>
      </c>
      <c r="E95" s="2"/>
      <c r="F95" s="2"/>
      <c r="G95" s="2"/>
      <c r="H95" s="2"/>
      <c r="I95" s="2"/>
      <c r="J95" s="2"/>
      <c r="K95" s="2"/>
      <c r="L95" s="2"/>
      <c r="M95" s="2"/>
      <c r="N95" s="2"/>
      <c r="O95" s="2"/>
      <c r="P95" s="2"/>
      <c r="Q95" s="2"/>
      <c r="R95" s="2"/>
      <c r="S95" s="2"/>
      <c r="T95" s="2"/>
      <c r="U95" s="2"/>
      <c r="V95" s="2"/>
      <c r="W95" s="2"/>
      <c r="X95" s="2"/>
      <c r="Y95" s="2"/>
      <c r="Z95" s="2"/>
    </row>
    <row r="99" spans="1:10">
      <c r="A99" s="13" t="s">
        <v>209</v>
      </c>
      <c r="B99" s="13"/>
      <c r="C99" s="13"/>
      <c r="D99" s="13"/>
      <c r="E99" s="13"/>
      <c r="F99" s="13"/>
      <c r="G99" s="13"/>
      <c r="H99" s="13"/>
      <c r="I99" s="13"/>
      <c r="J99" s="14"/>
    </row>
    <row r="100" spans="1:10">
      <c r="A100" s="13" t="s">
        <v>187</v>
      </c>
      <c r="B100" s="13"/>
      <c r="C100" s="13"/>
      <c r="D100" s="13"/>
      <c r="E100" s="13"/>
      <c r="F100" s="13"/>
      <c r="G100" s="13"/>
      <c r="H100" s="13"/>
      <c r="I100" s="13"/>
      <c r="J100" s="14"/>
    </row>
    <row r="101" spans="1:10">
      <c r="A101" s="15" t="s">
        <v>210</v>
      </c>
      <c r="B101" s="15"/>
      <c r="C101" s="15"/>
      <c r="D101" s="15"/>
      <c r="E101" s="15"/>
      <c r="F101" s="15"/>
      <c r="G101" s="15"/>
      <c r="H101" s="15"/>
      <c r="I101" s="15"/>
      <c r="J101" s="15"/>
    </row>
    <row r="102" spans="1:10">
      <c r="A102" s="16"/>
      <c r="B102" s="17"/>
      <c r="C102" s="17"/>
      <c r="D102" s="18"/>
      <c r="E102" s="18"/>
      <c r="F102" s="17"/>
      <c r="G102" s="17"/>
      <c r="H102" s="17"/>
      <c r="I102" s="17"/>
      <c r="J102" s="19"/>
    </row>
    <row r="103" spans="1:10">
      <c r="A103" s="20"/>
      <c r="B103" s="21" t="s">
        <v>211</v>
      </c>
      <c r="C103" s="22"/>
      <c r="D103" s="23"/>
      <c r="E103" s="21" t="s">
        <v>212</v>
      </c>
      <c r="F103" s="22"/>
      <c r="G103" s="23"/>
      <c r="H103" s="21" t="s">
        <v>213</v>
      </c>
      <c r="I103" s="22"/>
      <c r="J103" s="23"/>
    </row>
    <row r="104" ht="39.6" spans="1:10">
      <c r="A104" s="24"/>
      <c r="B104" s="25" t="s">
        <v>214</v>
      </c>
      <c r="C104" s="26" t="s">
        <v>215</v>
      </c>
      <c r="D104" s="26" t="s">
        <v>216</v>
      </c>
      <c r="E104" s="25" t="s">
        <v>214</v>
      </c>
      <c r="F104" s="26" t="s">
        <v>215</v>
      </c>
      <c r="G104" s="26" t="s">
        <v>216</v>
      </c>
      <c r="H104" s="25" t="s">
        <v>214</v>
      </c>
      <c r="I104" s="26" t="s">
        <v>215</v>
      </c>
      <c r="J104" s="26" t="s">
        <v>216</v>
      </c>
    </row>
    <row r="105" spans="1:10">
      <c r="A105" s="27" t="s">
        <v>217</v>
      </c>
      <c r="B105" s="28">
        <v>998072</v>
      </c>
      <c r="C105" s="29">
        <v>461186</v>
      </c>
      <c r="D105" s="30">
        <v>536886</v>
      </c>
      <c r="E105" s="28">
        <v>778127</v>
      </c>
      <c r="F105" s="29">
        <v>354616</v>
      </c>
      <c r="G105" s="30">
        <v>423511</v>
      </c>
      <c r="H105" s="28">
        <v>219945</v>
      </c>
      <c r="I105" s="29">
        <v>106570</v>
      </c>
      <c r="J105" s="30">
        <v>113375</v>
      </c>
    </row>
    <row r="106" spans="1:10">
      <c r="A106" s="31" t="s">
        <v>218</v>
      </c>
      <c r="B106" s="32"/>
      <c r="C106" s="33"/>
      <c r="D106" s="34"/>
      <c r="E106" s="32"/>
      <c r="F106" s="33"/>
      <c r="G106" s="34"/>
      <c r="H106" s="32"/>
      <c r="I106" s="33"/>
      <c r="J106" s="34"/>
    </row>
    <row r="107" spans="1:10">
      <c r="A107" s="35" t="s">
        <v>219</v>
      </c>
      <c r="B107" s="36">
        <v>7749</v>
      </c>
      <c r="C107" s="37">
        <v>4045</v>
      </c>
      <c r="D107" s="38">
        <v>3704</v>
      </c>
      <c r="E107" s="36">
        <v>6126</v>
      </c>
      <c r="F107" s="37">
        <v>3192</v>
      </c>
      <c r="G107" s="38">
        <v>2934</v>
      </c>
      <c r="H107" s="36">
        <v>1623</v>
      </c>
      <c r="I107" s="37">
        <v>853</v>
      </c>
      <c r="J107" s="38">
        <v>770</v>
      </c>
    </row>
    <row r="108" spans="1:10">
      <c r="A108" s="35" t="s">
        <v>220</v>
      </c>
      <c r="B108" s="36">
        <v>8129</v>
      </c>
      <c r="C108" s="37">
        <v>4144</v>
      </c>
      <c r="D108" s="38">
        <v>3985</v>
      </c>
      <c r="E108" s="36">
        <v>6438</v>
      </c>
      <c r="F108" s="37">
        <v>3303</v>
      </c>
      <c r="G108" s="38">
        <v>3135</v>
      </c>
      <c r="H108" s="36">
        <v>1691</v>
      </c>
      <c r="I108" s="37">
        <v>841</v>
      </c>
      <c r="J108" s="38">
        <v>850</v>
      </c>
    </row>
    <row r="109" spans="1:10">
      <c r="A109" s="35" t="s">
        <v>221</v>
      </c>
      <c r="B109" s="36">
        <v>8247</v>
      </c>
      <c r="C109" s="37">
        <v>4282</v>
      </c>
      <c r="D109" s="38">
        <v>3965</v>
      </c>
      <c r="E109" s="36">
        <v>6579</v>
      </c>
      <c r="F109" s="37">
        <v>3345</v>
      </c>
      <c r="G109" s="38">
        <v>3234</v>
      </c>
      <c r="H109" s="36">
        <v>1668</v>
      </c>
      <c r="I109" s="37">
        <v>937</v>
      </c>
      <c r="J109" s="38">
        <v>731</v>
      </c>
    </row>
    <row r="110" spans="1:10">
      <c r="A110" s="35" t="s">
        <v>222</v>
      </c>
      <c r="B110" s="36">
        <v>8507</v>
      </c>
      <c r="C110" s="37">
        <v>4396</v>
      </c>
      <c r="D110" s="38">
        <v>4111</v>
      </c>
      <c r="E110" s="36">
        <v>6946</v>
      </c>
      <c r="F110" s="37">
        <v>3499</v>
      </c>
      <c r="G110" s="38">
        <v>3447</v>
      </c>
      <c r="H110" s="36">
        <v>1561</v>
      </c>
      <c r="I110" s="37">
        <v>897</v>
      </c>
      <c r="J110" s="38">
        <v>664</v>
      </c>
    </row>
    <row r="111" spans="1:10">
      <c r="A111" s="35" t="s">
        <v>223</v>
      </c>
      <c r="B111" s="36">
        <v>9340</v>
      </c>
      <c r="C111" s="37">
        <v>4900</v>
      </c>
      <c r="D111" s="38">
        <v>4440</v>
      </c>
      <c r="E111" s="36">
        <v>7519</v>
      </c>
      <c r="F111" s="37">
        <v>3862</v>
      </c>
      <c r="G111" s="38">
        <v>3657</v>
      </c>
      <c r="H111" s="36">
        <v>1821</v>
      </c>
      <c r="I111" s="37">
        <v>1038</v>
      </c>
      <c r="J111" s="38">
        <v>783</v>
      </c>
    </row>
    <row r="112" spans="1:10">
      <c r="A112" s="35" t="s">
        <v>224</v>
      </c>
      <c r="B112" s="36">
        <v>10232</v>
      </c>
      <c r="C112" s="37">
        <v>5377</v>
      </c>
      <c r="D112" s="38">
        <v>4855</v>
      </c>
      <c r="E112" s="36">
        <v>8277</v>
      </c>
      <c r="F112" s="37">
        <v>4274</v>
      </c>
      <c r="G112" s="38">
        <v>4003</v>
      </c>
      <c r="H112" s="36">
        <v>1955</v>
      </c>
      <c r="I112" s="37">
        <v>1103</v>
      </c>
      <c r="J112" s="38">
        <v>852</v>
      </c>
    </row>
    <row r="113" spans="1:10">
      <c r="A113" s="35" t="s">
        <v>225</v>
      </c>
      <c r="B113" s="36">
        <v>11114</v>
      </c>
      <c r="C113" s="37">
        <v>5687</v>
      </c>
      <c r="D113" s="38">
        <v>5427</v>
      </c>
      <c r="E113" s="36">
        <v>8881</v>
      </c>
      <c r="F113" s="37">
        <v>4427</v>
      </c>
      <c r="G113" s="38">
        <v>4454</v>
      </c>
      <c r="H113" s="36">
        <v>2233</v>
      </c>
      <c r="I113" s="37">
        <v>1260</v>
      </c>
      <c r="J113" s="38">
        <v>973</v>
      </c>
    </row>
    <row r="114" spans="1:10">
      <c r="A114" s="35" t="s">
        <v>226</v>
      </c>
      <c r="B114" s="36">
        <v>12562</v>
      </c>
      <c r="C114" s="37">
        <v>6541</v>
      </c>
      <c r="D114" s="38">
        <v>6021</v>
      </c>
      <c r="E114" s="36">
        <v>10207</v>
      </c>
      <c r="F114" s="37">
        <v>5243</v>
      </c>
      <c r="G114" s="38">
        <v>4964</v>
      </c>
      <c r="H114" s="36">
        <v>2355</v>
      </c>
      <c r="I114" s="37">
        <v>1298</v>
      </c>
      <c r="J114" s="38">
        <v>1057</v>
      </c>
    </row>
    <row r="115" spans="1:10">
      <c r="A115" s="35" t="s">
        <v>227</v>
      </c>
      <c r="B115" s="36">
        <v>12808</v>
      </c>
      <c r="C115" s="37">
        <v>6689</v>
      </c>
      <c r="D115" s="38">
        <v>6119</v>
      </c>
      <c r="E115" s="36">
        <v>10482</v>
      </c>
      <c r="F115" s="37">
        <v>5422</v>
      </c>
      <c r="G115" s="38">
        <v>5060</v>
      </c>
      <c r="H115" s="36">
        <v>2326</v>
      </c>
      <c r="I115" s="37">
        <v>1267</v>
      </c>
      <c r="J115" s="38">
        <v>1059</v>
      </c>
    </row>
    <row r="116" spans="1:10">
      <c r="A116" s="35" t="s">
        <v>228</v>
      </c>
      <c r="B116" s="36">
        <v>13009</v>
      </c>
      <c r="C116" s="37">
        <v>6937</v>
      </c>
      <c r="D116" s="38">
        <v>6072</v>
      </c>
      <c r="E116" s="36">
        <v>10140</v>
      </c>
      <c r="F116" s="37">
        <v>5267</v>
      </c>
      <c r="G116" s="38">
        <v>4873</v>
      </c>
      <c r="H116" s="36">
        <v>2869</v>
      </c>
      <c r="I116" s="37">
        <v>1670</v>
      </c>
      <c r="J116" s="38">
        <v>1199</v>
      </c>
    </row>
    <row r="117" spans="1:10">
      <c r="A117" s="35" t="s">
        <v>229</v>
      </c>
      <c r="B117" s="36">
        <v>13010</v>
      </c>
      <c r="C117" s="37">
        <v>6892</v>
      </c>
      <c r="D117" s="38">
        <v>6118</v>
      </c>
      <c r="E117" s="36">
        <v>10295</v>
      </c>
      <c r="F117" s="37">
        <v>5303</v>
      </c>
      <c r="G117" s="38">
        <v>4992</v>
      </c>
      <c r="H117" s="36">
        <v>2715</v>
      </c>
      <c r="I117" s="37">
        <v>1589</v>
      </c>
      <c r="J117" s="38">
        <v>1126</v>
      </c>
    </row>
    <row r="118" spans="1:10">
      <c r="A118" s="35" t="s">
        <v>230</v>
      </c>
      <c r="B118" s="36">
        <v>13062</v>
      </c>
      <c r="C118" s="37">
        <v>6932</v>
      </c>
      <c r="D118" s="38">
        <v>6130</v>
      </c>
      <c r="E118" s="36">
        <v>10185</v>
      </c>
      <c r="F118" s="37">
        <v>5288</v>
      </c>
      <c r="G118" s="38">
        <v>4897</v>
      </c>
      <c r="H118" s="36">
        <v>2877</v>
      </c>
      <c r="I118" s="37">
        <v>1644</v>
      </c>
      <c r="J118" s="38">
        <v>1233</v>
      </c>
    </row>
    <row r="119" spans="1:10">
      <c r="A119" s="35" t="s">
        <v>231</v>
      </c>
      <c r="B119" s="36">
        <v>12629</v>
      </c>
      <c r="C119" s="37">
        <v>6602</v>
      </c>
      <c r="D119" s="38">
        <v>6027</v>
      </c>
      <c r="E119" s="36">
        <v>9787</v>
      </c>
      <c r="F119" s="37">
        <v>4989</v>
      </c>
      <c r="G119" s="38">
        <v>4798</v>
      </c>
      <c r="H119" s="36">
        <v>2842</v>
      </c>
      <c r="I119" s="37">
        <v>1613</v>
      </c>
      <c r="J119" s="38">
        <v>1229</v>
      </c>
    </row>
    <row r="120" spans="1:10">
      <c r="A120" s="35" t="s">
        <v>232</v>
      </c>
      <c r="B120" s="36">
        <v>12628</v>
      </c>
      <c r="C120" s="37">
        <v>6394</v>
      </c>
      <c r="D120" s="38">
        <v>6234</v>
      </c>
      <c r="E120" s="36">
        <v>10045</v>
      </c>
      <c r="F120" s="37">
        <v>5086</v>
      </c>
      <c r="G120" s="38">
        <v>4959</v>
      </c>
      <c r="H120" s="36">
        <v>2583</v>
      </c>
      <c r="I120" s="37">
        <v>1308</v>
      </c>
      <c r="J120" s="38">
        <v>1275</v>
      </c>
    </row>
    <row r="121" spans="1:10">
      <c r="A121" s="35" t="s">
        <v>233</v>
      </c>
      <c r="B121" s="36">
        <v>12498</v>
      </c>
      <c r="C121" s="37">
        <v>6418</v>
      </c>
      <c r="D121" s="38">
        <v>6080</v>
      </c>
      <c r="E121" s="36">
        <v>9737</v>
      </c>
      <c r="F121" s="37">
        <v>5066</v>
      </c>
      <c r="G121" s="38">
        <v>4671</v>
      </c>
      <c r="H121" s="36">
        <v>2761</v>
      </c>
      <c r="I121" s="37">
        <v>1352</v>
      </c>
      <c r="J121" s="38">
        <v>1409</v>
      </c>
    </row>
    <row r="122" spans="1:10">
      <c r="A122" s="35" t="s">
        <v>234</v>
      </c>
      <c r="B122" s="36">
        <v>12052</v>
      </c>
      <c r="C122" s="37">
        <v>6142</v>
      </c>
      <c r="D122" s="38">
        <v>5910</v>
      </c>
      <c r="E122" s="36">
        <v>9375</v>
      </c>
      <c r="F122" s="37">
        <v>4765</v>
      </c>
      <c r="G122" s="38">
        <v>4610</v>
      </c>
      <c r="H122" s="36">
        <v>2677</v>
      </c>
      <c r="I122" s="37">
        <v>1377</v>
      </c>
      <c r="J122" s="38">
        <v>1300</v>
      </c>
    </row>
    <row r="123" spans="1:10">
      <c r="A123" s="35" t="s">
        <v>235</v>
      </c>
      <c r="B123" s="36">
        <v>11812</v>
      </c>
      <c r="C123" s="37">
        <v>6029</v>
      </c>
      <c r="D123" s="38">
        <v>5783</v>
      </c>
      <c r="E123" s="36">
        <v>9702</v>
      </c>
      <c r="F123" s="37">
        <v>5007</v>
      </c>
      <c r="G123" s="38">
        <v>4695</v>
      </c>
      <c r="H123" s="36">
        <v>2110</v>
      </c>
      <c r="I123" s="37">
        <v>1022</v>
      </c>
      <c r="J123" s="38">
        <v>1088</v>
      </c>
    </row>
    <row r="124" spans="1:10">
      <c r="A124" s="35" t="s">
        <v>236</v>
      </c>
      <c r="B124" s="36">
        <v>10812</v>
      </c>
      <c r="C124" s="37">
        <v>5555</v>
      </c>
      <c r="D124" s="38">
        <v>5257</v>
      </c>
      <c r="E124" s="36">
        <v>9114</v>
      </c>
      <c r="F124" s="37">
        <v>4684</v>
      </c>
      <c r="G124" s="38">
        <v>4430</v>
      </c>
      <c r="H124" s="36">
        <v>1698</v>
      </c>
      <c r="I124" s="37">
        <v>871</v>
      </c>
      <c r="J124" s="38">
        <v>827</v>
      </c>
    </row>
    <row r="125" spans="1:10">
      <c r="A125" s="35" t="s">
        <v>237</v>
      </c>
      <c r="B125" s="36">
        <v>11041</v>
      </c>
      <c r="C125" s="37">
        <v>6032</v>
      </c>
      <c r="D125" s="38">
        <v>5009</v>
      </c>
      <c r="E125" s="36">
        <v>9838</v>
      </c>
      <c r="F125" s="37">
        <v>5341</v>
      </c>
      <c r="G125" s="38">
        <v>4497</v>
      </c>
      <c r="H125" s="36">
        <v>1203</v>
      </c>
      <c r="I125" s="37">
        <v>691</v>
      </c>
      <c r="J125" s="38">
        <v>512</v>
      </c>
    </row>
    <row r="126" spans="1:10">
      <c r="A126" s="35" t="s">
        <v>238</v>
      </c>
      <c r="B126" s="36">
        <v>11653</v>
      </c>
      <c r="C126" s="37">
        <v>6483</v>
      </c>
      <c r="D126" s="38">
        <v>5170</v>
      </c>
      <c r="E126" s="36">
        <v>10216</v>
      </c>
      <c r="F126" s="37">
        <v>5660</v>
      </c>
      <c r="G126" s="38">
        <v>4556</v>
      </c>
      <c r="H126" s="36">
        <v>1437</v>
      </c>
      <c r="I126" s="37">
        <v>823</v>
      </c>
      <c r="J126" s="38">
        <v>614</v>
      </c>
    </row>
    <row r="127" spans="1:10">
      <c r="A127" s="35" t="s">
        <v>239</v>
      </c>
      <c r="B127" s="36">
        <v>10691</v>
      </c>
      <c r="C127" s="37">
        <v>5946</v>
      </c>
      <c r="D127" s="38">
        <v>4745</v>
      </c>
      <c r="E127" s="36">
        <v>9076</v>
      </c>
      <c r="F127" s="37">
        <v>4982</v>
      </c>
      <c r="G127" s="38">
        <v>4094</v>
      </c>
      <c r="H127" s="36">
        <v>1615</v>
      </c>
      <c r="I127" s="37">
        <v>964</v>
      </c>
      <c r="J127" s="38">
        <v>651</v>
      </c>
    </row>
    <row r="128" spans="1:10">
      <c r="A128" s="35" t="s">
        <v>240</v>
      </c>
      <c r="B128" s="36">
        <v>9967</v>
      </c>
      <c r="C128" s="37">
        <v>5472</v>
      </c>
      <c r="D128" s="38">
        <v>4495</v>
      </c>
      <c r="E128" s="36">
        <v>7988</v>
      </c>
      <c r="F128" s="37">
        <v>4409</v>
      </c>
      <c r="G128" s="38">
        <v>3579</v>
      </c>
      <c r="H128" s="36">
        <v>1979</v>
      </c>
      <c r="I128" s="37">
        <v>1063</v>
      </c>
      <c r="J128" s="38">
        <v>916</v>
      </c>
    </row>
    <row r="129" spans="1:10">
      <c r="A129" s="35" t="s">
        <v>241</v>
      </c>
      <c r="B129" s="36">
        <v>9205</v>
      </c>
      <c r="C129" s="37">
        <v>5164</v>
      </c>
      <c r="D129" s="38">
        <v>4041</v>
      </c>
      <c r="E129" s="36">
        <v>7399</v>
      </c>
      <c r="F129" s="37">
        <v>4179</v>
      </c>
      <c r="G129" s="38">
        <v>3220</v>
      </c>
      <c r="H129" s="36">
        <v>1806</v>
      </c>
      <c r="I129" s="37">
        <v>985</v>
      </c>
      <c r="J129" s="38">
        <v>821</v>
      </c>
    </row>
    <row r="130" spans="1:10">
      <c r="A130" s="35" t="s">
        <v>242</v>
      </c>
      <c r="B130" s="36">
        <v>8684</v>
      </c>
      <c r="C130" s="37">
        <v>4615</v>
      </c>
      <c r="D130" s="38">
        <v>4069</v>
      </c>
      <c r="E130" s="36">
        <v>6910</v>
      </c>
      <c r="F130" s="37">
        <v>3654</v>
      </c>
      <c r="G130" s="38">
        <v>3256</v>
      </c>
      <c r="H130" s="36">
        <v>1774</v>
      </c>
      <c r="I130" s="37">
        <v>961</v>
      </c>
      <c r="J130" s="38">
        <v>813</v>
      </c>
    </row>
    <row r="131" spans="1:10">
      <c r="A131" s="35" t="s">
        <v>243</v>
      </c>
      <c r="B131" s="36">
        <v>7986</v>
      </c>
      <c r="C131" s="37">
        <v>4222</v>
      </c>
      <c r="D131" s="38">
        <v>3764</v>
      </c>
      <c r="E131" s="36">
        <v>6408</v>
      </c>
      <c r="F131" s="37">
        <v>3279</v>
      </c>
      <c r="G131" s="38">
        <v>3129</v>
      </c>
      <c r="H131" s="36">
        <v>1578</v>
      </c>
      <c r="I131" s="37">
        <v>943</v>
      </c>
      <c r="J131" s="38">
        <v>635</v>
      </c>
    </row>
    <row r="132" spans="1:10">
      <c r="A132" s="35" t="s">
        <v>244</v>
      </c>
      <c r="B132" s="36">
        <v>8324</v>
      </c>
      <c r="C132" s="37">
        <v>4483</v>
      </c>
      <c r="D132" s="38">
        <v>3841</v>
      </c>
      <c r="E132" s="36">
        <v>6671</v>
      </c>
      <c r="F132" s="37">
        <v>3392</v>
      </c>
      <c r="G132" s="38">
        <v>3279</v>
      </c>
      <c r="H132" s="36">
        <v>1653</v>
      </c>
      <c r="I132" s="37">
        <v>1091</v>
      </c>
      <c r="J132" s="38">
        <v>562</v>
      </c>
    </row>
    <row r="133" spans="1:10">
      <c r="A133" s="35" t="s">
        <v>245</v>
      </c>
      <c r="B133" s="36">
        <v>7811</v>
      </c>
      <c r="C133" s="37">
        <v>4314</v>
      </c>
      <c r="D133" s="38">
        <v>3497</v>
      </c>
      <c r="E133" s="36">
        <v>6142</v>
      </c>
      <c r="F133" s="37">
        <v>3170</v>
      </c>
      <c r="G133" s="38">
        <v>2972</v>
      </c>
      <c r="H133" s="36">
        <v>1669</v>
      </c>
      <c r="I133" s="37">
        <v>1144</v>
      </c>
      <c r="J133" s="38">
        <v>525</v>
      </c>
    </row>
    <row r="134" spans="1:10">
      <c r="A134" s="35" t="s">
        <v>246</v>
      </c>
      <c r="B134" s="36">
        <v>8286</v>
      </c>
      <c r="C134" s="37">
        <v>4418</v>
      </c>
      <c r="D134" s="38">
        <v>3868</v>
      </c>
      <c r="E134" s="36">
        <v>6809</v>
      </c>
      <c r="F134" s="37">
        <v>3448</v>
      </c>
      <c r="G134" s="38">
        <v>3361</v>
      </c>
      <c r="H134" s="36">
        <v>1477</v>
      </c>
      <c r="I134" s="37">
        <v>970</v>
      </c>
      <c r="J134" s="38">
        <v>507</v>
      </c>
    </row>
    <row r="135" spans="1:10">
      <c r="A135" s="35" t="s">
        <v>247</v>
      </c>
      <c r="B135" s="36">
        <v>8477</v>
      </c>
      <c r="C135" s="37">
        <v>4470</v>
      </c>
      <c r="D135" s="38">
        <v>4007</v>
      </c>
      <c r="E135" s="36">
        <v>7034</v>
      </c>
      <c r="F135" s="37">
        <v>3556</v>
      </c>
      <c r="G135" s="38">
        <v>3478</v>
      </c>
      <c r="H135" s="36">
        <v>1443</v>
      </c>
      <c r="I135" s="37">
        <v>914</v>
      </c>
      <c r="J135" s="38">
        <v>529</v>
      </c>
    </row>
    <row r="136" spans="1:10">
      <c r="A136" s="35" t="s">
        <v>248</v>
      </c>
      <c r="B136" s="36">
        <v>8270</v>
      </c>
      <c r="C136" s="37">
        <v>4213</v>
      </c>
      <c r="D136" s="38">
        <v>4057</v>
      </c>
      <c r="E136" s="36">
        <v>6977</v>
      </c>
      <c r="F136" s="37">
        <v>3468</v>
      </c>
      <c r="G136" s="38">
        <v>3509</v>
      </c>
      <c r="H136" s="36">
        <v>1293</v>
      </c>
      <c r="I136" s="37">
        <v>745</v>
      </c>
      <c r="J136" s="38">
        <v>548</v>
      </c>
    </row>
    <row r="137" spans="1:10">
      <c r="A137" s="35" t="s">
        <v>249</v>
      </c>
      <c r="B137" s="36">
        <v>8166</v>
      </c>
      <c r="C137" s="37">
        <v>4075</v>
      </c>
      <c r="D137" s="38">
        <v>4091</v>
      </c>
      <c r="E137" s="36">
        <v>6902</v>
      </c>
      <c r="F137" s="37">
        <v>3427</v>
      </c>
      <c r="G137" s="38">
        <v>3475</v>
      </c>
      <c r="H137" s="36">
        <v>1264</v>
      </c>
      <c r="I137" s="37">
        <v>648</v>
      </c>
      <c r="J137" s="38">
        <v>616</v>
      </c>
    </row>
    <row r="138" spans="1:10">
      <c r="A138" s="35" t="s">
        <v>250</v>
      </c>
      <c r="B138" s="36">
        <v>9347</v>
      </c>
      <c r="C138" s="37">
        <v>4508</v>
      </c>
      <c r="D138" s="38">
        <v>4839</v>
      </c>
      <c r="E138" s="36">
        <v>8107</v>
      </c>
      <c r="F138" s="37">
        <v>3957</v>
      </c>
      <c r="G138" s="38">
        <v>4150</v>
      </c>
      <c r="H138" s="36">
        <v>1240</v>
      </c>
      <c r="I138" s="37">
        <v>551</v>
      </c>
      <c r="J138" s="38">
        <v>689</v>
      </c>
    </row>
    <row r="139" spans="1:10">
      <c r="A139" s="35" t="s">
        <v>251</v>
      </c>
      <c r="B139" s="36">
        <v>11382</v>
      </c>
      <c r="C139" s="37">
        <v>5577</v>
      </c>
      <c r="D139" s="38">
        <v>5805</v>
      </c>
      <c r="E139" s="36">
        <v>9765</v>
      </c>
      <c r="F139" s="37">
        <v>4821</v>
      </c>
      <c r="G139" s="38">
        <v>4944</v>
      </c>
      <c r="H139" s="36">
        <v>1617</v>
      </c>
      <c r="I139" s="37">
        <v>756</v>
      </c>
      <c r="J139" s="38">
        <v>861</v>
      </c>
    </row>
    <row r="140" spans="1:10">
      <c r="A140" s="35" t="s">
        <v>252</v>
      </c>
      <c r="B140" s="36">
        <v>13386</v>
      </c>
      <c r="C140" s="37">
        <v>6719</v>
      </c>
      <c r="D140" s="38">
        <v>6667</v>
      </c>
      <c r="E140" s="36">
        <v>11247</v>
      </c>
      <c r="F140" s="37">
        <v>5595</v>
      </c>
      <c r="G140" s="38">
        <v>5652</v>
      </c>
      <c r="H140" s="36">
        <v>2139</v>
      </c>
      <c r="I140" s="37">
        <v>1124</v>
      </c>
      <c r="J140" s="38">
        <v>1015</v>
      </c>
    </row>
    <row r="141" spans="1:10">
      <c r="A141" s="35" t="s">
        <v>253</v>
      </c>
      <c r="B141" s="36">
        <v>14685</v>
      </c>
      <c r="C141" s="37">
        <v>7408</v>
      </c>
      <c r="D141" s="38">
        <v>7277</v>
      </c>
      <c r="E141" s="36">
        <v>12204</v>
      </c>
      <c r="F141" s="37">
        <v>6053</v>
      </c>
      <c r="G141" s="38">
        <v>6151</v>
      </c>
      <c r="H141" s="36">
        <v>2481</v>
      </c>
      <c r="I141" s="37">
        <v>1355</v>
      </c>
      <c r="J141" s="38">
        <v>1126</v>
      </c>
    </row>
    <row r="142" spans="1:10">
      <c r="A142" s="35" t="s">
        <v>254</v>
      </c>
      <c r="B142" s="36">
        <v>16251</v>
      </c>
      <c r="C142" s="37">
        <v>8097</v>
      </c>
      <c r="D142" s="38">
        <v>8154</v>
      </c>
      <c r="E142" s="36">
        <v>13388</v>
      </c>
      <c r="F142" s="37">
        <v>6523</v>
      </c>
      <c r="G142" s="38">
        <v>6865</v>
      </c>
      <c r="H142" s="36">
        <v>2863</v>
      </c>
      <c r="I142" s="37">
        <v>1574</v>
      </c>
      <c r="J142" s="38">
        <v>1289</v>
      </c>
    </row>
    <row r="143" spans="1:10">
      <c r="A143" s="35" t="s">
        <v>255</v>
      </c>
      <c r="B143" s="36">
        <v>17539</v>
      </c>
      <c r="C143" s="37">
        <v>8808</v>
      </c>
      <c r="D143" s="38">
        <v>8731</v>
      </c>
      <c r="E143" s="36">
        <v>14331</v>
      </c>
      <c r="F143" s="37">
        <v>7060</v>
      </c>
      <c r="G143" s="38">
        <v>7271</v>
      </c>
      <c r="H143" s="36">
        <v>3208</v>
      </c>
      <c r="I143" s="37">
        <v>1748</v>
      </c>
      <c r="J143" s="38">
        <v>1460</v>
      </c>
    </row>
    <row r="144" spans="1:10">
      <c r="A144" s="35" t="s">
        <v>256</v>
      </c>
      <c r="B144" s="36">
        <v>17407</v>
      </c>
      <c r="C144" s="37">
        <v>8491</v>
      </c>
      <c r="D144" s="38">
        <v>8916</v>
      </c>
      <c r="E144" s="36">
        <v>14379</v>
      </c>
      <c r="F144" s="37">
        <v>6932</v>
      </c>
      <c r="G144" s="38">
        <v>7447</v>
      </c>
      <c r="H144" s="36">
        <v>3028</v>
      </c>
      <c r="I144" s="37">
        <v>1559</v>
      </c>
      <c r="J144" s="38">
        <v>1469</v>
      </c>
    </row>
    <row r="145" spans="1:10">
      <c r="A145" s="35" t="s">
        <v>257</v>
      </c>
      <c r="B145" s="36">
        <v>16653</v>
      </c>
      <c r="C145" s="37">
        <v>8287</v>
      </c>
      <c r="D145" s="38">
        <v>8366</v>
      </c>
      <c r="E145" s="36">
        <v>13813</v>
      </c>
      <c r="F145" s="37">
        <v>6829</v>
      </c>
      <c r="G145" s="38">
        <v>6984</v>
      </c>
      <c r="H145" s="36">
        <v>2840</v>
      </c>
      <c r="I145" s="37">
        <v>1458</v>
      </c>
      <c r="J145" s="38">
        <v>1382</v>
      </c>
    </row>
    <row r="146" spans="1:10">
      <c r="A146" s="35" t="s">
        <v>258</v>
      </c>
      <c r="B146" s="36">
        <v>16544</v>
      </c>
      <c r="C146" s="37">
        <v>8263</v>
      </c>
      <c r="D146" s="38">
        <v>8281</v>
      </c>
      <c r="E146" s="36">
        <v>13648</v>
      </c>
      <c r="F146" s="37">
        <v>6677</v>
      </c>
      <c r="G146" s="38">
        <v>6971</v>
      </c>
      <c r="H146" s="36">
        <v>2896</v>
      </c>
      <c r="I146" s="37">
        <v>1586</v>
      </c>
      <c r="J146" s="38">
        <v>1310</v>
      </c>
    </row>
    <row r="147" spans="1:10">
      <c r="A147" s="35" t="s">
        <v>259</v>
      </c>
      <c r="B147" s="36">
        <v>17446</v>
      </c>
      <c r="C147" s="37">
        <v>8529</v>
      </c>
      <c r="D147" s="38">
        <v>8917</v>
      </c>
      <c r="E147" s="36">
        <v>14313</v>
      </c>
      <c r="F147" s="37">
        <v>6869</v>
      </c>
      <c r="G147" s="38">
        <v>7444</v>
      </c>
      <c r="H147" s="36">
        <v>3133</v>
      </c>
      <c r="I147" s="37">
        <v>1660</v>
      </c>
      <c r="J147" s="38">
        <v>1473</v>
      </c>
    </row>
    <row r="148" spans="1:10">
      <c r="A148" s="35" t="s">
        <v>260</v>
      </c>
      <c r="B148" s="36">
        <v>17017</v>
      </c>
      <c r="C148" s="37">
        <v>8217</v>
      </c>
      <c r="D148" s="38">
        <v>8800</v>
      </c>
      <c r="E148" s="36">
        <v>13839</v>
      </c>
      <c r="F148" s="37">
        <v>6583</v>
      </c>
      <c r="G148" s="38">
        <v>7256</v>
      </c>
      <c r="H148" s="36">
        <v>3178</v>
      </c>
      <c r="I148" s="37">
        <v>1634</v>
      </c>
      <c r="J148" s="38">
        <v>1544</v>
      </c>
    </row>
    <row r="149" spans="1:10">
      <c r="A149" s="35" t="s">
        <v>261</v>
      </c>
      <c r="B149" s="36">
        <v>15895</v>
      </c>
      <c r="C149" s="37">
        <v>7635</v>
      </c>
      <c r="D149" s="38">
        <v>8260</v>
      </c>
      <c r="E149" s="36">
        <v>12795</v>
      </c>
      <c r="F149" s="37">
        <v>6029</v>
      </c>
      <c r="G149" s="38">
        <v>6766</v>
      </c>
      <c r="H149" s="36">
        <v>3100</v>
      </c>
      <c r="I149" s="37">
        <v>1606</v>
      </c>
      <c r="J149" s="38">
        <v>1494</v>
      </c>
    </row>
    <row r="150" spans="1:10">
      <c r="A150" s="35" t="s">
        <v>262</v>
      </c>
      <c r="B150" s="36">
        <v>16484</v>
      </c>
      <c r="C150" s="37">
        <v>7906</v>
      </c>
      <c r="D150" s="38">
        <v>8578</v>
      </c>
      <c r="E150" s="36">
        <v>13297</v>
      </c>
      <c r="F150" s="37">
        <v>6274</v>
      </c>
      <c r="G150" s="38">
        <v>7023</v>
      </c>
      <c r="H150" s="36">
        <v>3187</v>
      </c>
      <c r="I150" s="37">
        <v>1632</v>
      </c>
      <c r="J150" s="38">
        <v>1555</v>
      </c>
    </row>
    <row r="151" spans="1:10">
      <c r="A151" s="35" t="s">
        <v>263</v>
      </c>
      <c r="B151" s="36">
        <v>15504</v>
      </c>
      <c r="C151" s="37">
        <v>7589</v>
      </c>
      <c r="D151" s="38">
        <v>7915</v>
      </c>
      <c r="E151" s="36">
        <v>12358</v>
      </c>
      <c r="F151" s="37">
        <v>5887</v>
      </c>
      <c r="G151" s="38">
        <v>6471</v>
      </c>
      <c r="H151" s="36">
        <v>3146</v>
      </c>
      <c r="I151" s="37">
        <v>1702</v>
      </c>
      <c r="J151" s="38">
        <v>1444</v>
      </c>
    </row>
    <row r="152" spans="1:10">
      <c r="A152" s="35" t="s">
        <v>264</v>
      </c>
      <c r="B152" s="36">
        <v>15803</v>
      </c>
      <c r="C152" s="37">
        <v>7623</v>
      </c>
      <c r="D152" s="38">
        <v>8180</v>
      </c>
      <c r="E152" s="36">
        <v>12615</v>
      </c>
      <c r="F152" s="37">
        <v>5955</v>
      </c>
      <c r="G152" s="38">
        <v>6660</v>
      </c>
      <c r="H152" s="36">
        <v>3188</v>
      </c>
      <c r="I152" s="37">
        <v>1668</v>
      </c>
      <c r="J152" s="38">
        <v>1520</v>
      </c>
    </row>
    <row r="153" spans="1:10">
      <c r="A153" s="35" t="s">
        <v>265</v>
      </c>
      <c r="B153" s="36">
        <v>15580</v>
      </c>
      <c r="C153" s="37">
        <v>7455</v>
      </c>
      <c r="D153" s="38">
        <v>8125</v>
      </c>
      <c r="E153" s="36">
        <v>12369</v>
      </c>
      <c r="F153" s="37">
        <v>5746</v>
      </c>
      <c r="G153" s="38">
        <v>6623</v>
      </c>
      <c r="H153" s="36">
        <v>3211</v>
      </c>
      <c r="I153" s="37">
        <v>1709</v>
      </c>
      <c r="J153" s="38">
        <v>1502</v>
      </c>
    </row>
    <row r="154" spans="1:10">
      <c r="A154" s="35" t="s">
        <v>266</v>
      </c>
      <c r="B154" s="36">
        <v>15935</v>
      </c>
      <c r="C154" s="37">
        <v>7586</v>
      </c>
      <c r="D154" s="38">
        <v>8349</v>
      </c>
      <c r="E154" s="36">
        <v>12633</v>
      </c>
      <c r="F154" s="37">
        <v>5863</v>
      </c>
      <c r="G154" s="38">
        <v>6770</v>
      </c>
      <c r="H154" s="36">
        <v>3302</v>
      </c>
      <c r="I154" s="37">
        <v>1723</v>
      </c>
      <c r="J154" s="38">
        <v>1579</v>
      </c>
    </row>
    <row r="155" spans="1:10">
      <c r="A155" s="35" t="s">
        <v>267</v>
      </c>
      <c r="B155" s="36">
        <v>15673</v>
      </c>
      <c r="C155" s="37">
        <v>7465</v>
      </c>
      <c r="D155" s="38">
        <v>8208</v>
      </c>
      <c r="E155" s="36">
        <v>12360</v>
      </c>
      <c r="F155" s="37">
        <v>5737</v>
      </c>
      <c r="G155" s="38">
        <v>6623</v>
      </c>
      <c r="H155" s="36">
        <v>3313</v>
      </c>
      <c r="I155" s="37">
        <v>1728</v>
      </c>
      <c r="J155" s="38">
        <v>1585</v>
      </c>
    </row>
    <row r="156" spans="1:10">
      <c r="A156" s="35" t="s">
        <v>268</v>
      </c>
      <c r="B156" s="36">
        <v>14549</v>
      </c>
      <c r="C156" s="37">
        <v>6897</v>
      </c>
      <c r="D156" s="38">
        <v>7652</v>
      </c>
      <c r="E156" s="36">
        <v>11219</v>
      </c>
      <c r="F156" s="37">
        <v>5185</v>
      </c>
      <c r="G156" s="38">
        <v>6034</v>
      </c>
      <c r="H156" s="36">
        <v>3330</v>
      </c>
      <c r="I156" s="37">
        <v>1712</v>
      </c>
      <c r="J156" s="38">
        <v>1618</v>
      </c>
    </row>
    <row r="157" spans="1:10">
      <c r="A157" s="35" t="s">
        <v>269</v>
      </c>
      <c r="B157" s="36">
        <v>13529</v>
      </c>
      <c r="C157" s="37">
        <v>6363</v>
      </c>
      <c r="D157" s="38">
        <v>7166</v>
      </c>
      <c r="E157" s="36">
        <v>10396</v>
      </c>
      <c r="F157" s="37">
        <v>4854</v>
      </c>
      <c r="G157" s="38">
        <v>5542</v>
      </c>
      <c r="H157" s="36">
        <v>3133</v>
      </c>
      <c r="I157" s="37">
        <v>1509</v>
      </c>
      <c r="J157" s="38">
        <v>1624</v>
      </c>
    </row>
    <row r="158" spans="1:10">
      <c r="A158" s="35" t="s">
        <v>270</v>
      </c>
      <c r="B158" s="36">
        <v>13724</v>
      </c>
      <c r="C158" s="37">
        <v>6408</v>
      </c>
      <c r="D158" s="38">
        <v>7316</v>
      </c>
      <c r="E158" s="36">
        <v>10660</v>
      </c>
      <c r="F158" s="37">
        <v>4855</v>
      </c>
      <c r="G158" s="38">
        <v>5805</v>
      </c>
      <c r="H158" s="36">
        <v>3064</v>
      </c>
      <c r="I158" s="37">
        <v>1553</v>
      </c>
      <c r="J158" s="38">
        <v>1511</v>
      </c>
    </row>
    <row r="159" spans="1:10">
      <c r="A159" s="35" t="s">
        <v>271</v>
      </c>
      <c r="B159" s="36">
        <v>12738</v>
      </c>
      <c r="C159" s="37">
        <v>5935</v>
      </c>
      <c r="D159" s="38">
        <v>6803</v>
      </c>
      <c r="E159" s="36">
        <v>9811</v>
      </c>
      <c r="F159" s="37">
        <v>4511</v>
      </c>
      <c r="G159" s="38">
        <v>5300</v>
      </c>
      <c r="H159" s="36">
        <v>2927</v>
      </c>
      <c r="I159" s="37">
        <v>1424</v>
      </c>
      <c r="J159" s="38">
        <v>1503</v>
      </c>
    </row>
    <row r="160" spans="1:10">
      <c r="A160" s="35" t="s">
        <v>272</v>
      </c>
      <c r="B160" s="36">
        <v>12535</v>
      </c>
      <c r="C160" s="37">
        <v>5882</v>
      </c>
      <c r="D160" s="38">
        <v>6653</v>
      </c>
      <c r="E160" s="36">
        <v>9453</v>
      </c>
      <c r="F160" s="37">
        <v>4357</v>
      </c>
      <c r="G160" s="38">
        <v>5096</v>
      </c>
      <c r="H160" s="36">
        <v>3082</v>
      </c>
      <c r="I160" s="37">
        <v>1525</v>
      </c>
      <c r="J160" s="38">
        <v>1557</v>
      </c>
    </row>
    <row r="161" spans="1:10">
      <c r="A161" s="35" t="s">
        <v>273</v>
      </c>
      <c r="B161" s="36">
        <v>11734</v>
      </c>
      <c r="C161" s="37">
        <v>5451</v>
      </c>
      <c r="D161" s="38">
        <v>6283</v>
      </c>
      <c r="E161" s="36">
        <v>8723</v>
      </c>
      <c r="F161" s="37">
        <v>4008</v>
      </c>
      <c r="G161" s="38">
        <v>4715</v>
      </c>
      <c r="H161" s="36">
        <v>3011</v>
      </c>
      <c r="I161" s="37">
        <v>1443</v>
      </c>
      <c r="J161" s="38">
        <v>1568</v>
      </c>
    </row>
    <row r="162" spans="1:10">
      <c r="A162" s="35" t="s">
        <v>274</v>
      </c>
      <c r="B162" s="36">
        <v>11563</v>
      </c>
      <c r="C162" s="37">
        <v>5194</v>
      </c>
      <c r="D162" s="38">
        <v>6369</v>
      </c>
      <c r="E162" s="36">
        <v>8618</v>
      </c>
      <c r="F162" s="37">
        <v>3812</v>
      </c>
      <c r="G162" s="38">
        <v>4806</v>
      </c>
      <c r="H162" s="36">
        <v>2945</v>
      </c>
      <c r="I162" s="37">
        <v>1382</v>
      </c>
      <c r="J162" s="38">
        <v>1563</v>
      </c>
    </row>
    <row r="163" spans="1:10">
      <c r="A163" s="35" t="s">
        <v>275</v>
      </c>
      <c r="B163" s="36">
        <v>11729</v>
      </c>
      <c r="C163" s="37">
        <v>5323</v>
      </c>
      <c r="D163" s="38">
        <v>6406</v>
      </c>
      <c r="E163" s="36">
        <v>8398</v>
      </c>
      <c r="F163" s="37">
        <v>3760</v>
      </c>
      <c r="G163" s="38">
        <v>4638</v>
      </c>
      <c r="H163" s="36">
        <v>3331</v>
      </c>
      <c r="I163" s="37">
        <v>1563</v>
      </c>
      <c r="J163" s="38">
        <v>1768</v>
      </c>
    </row>
    <row r="164" spans="1:10">
      <c r="A164" s="35" t="s">
        <v>276</v>
      </c>
      <c r="B164" s="36">
        <v>12299</v>
      </c>
      <c r="C164" s="37">
        <v>5558</v>
      </c>
      <c r="D164" s="38">
        <v>6741</v>
      </c>
      <c r="E164" s="36">
        <v>8803</v>
      </c>
      <c r="F164" s="37">
        <v>3924</v>
      </c>
      <c r="G164" s="38">
        <v>4879</v>
      </c>
      <c r="H164" s="36">
        <v>3496</v>
      </c>
      <c r="I164" s="37">
        <v>1634</v>
      </c>
      <c r="J164" s="38">
        <v>1862</v>
      </c>
    </row>
    <row r="165" spans="1:10">
      <c r="A165" s="35" t="s">
        <v>277</v>
      </c>
      <c r="B165" s="36">
        <v>12742</v>
      </c>
      <c r="C165" s="37">
        <v>5712</v>
      </c>
      <c r="D165" s="38">
        <v>7030</v>
      </c>
      <c r="E165" s="36">
        <v>9166</v>
      </c>
      <c r="F165" s="37">
        <v>4077</v>
      </c>
      <c r="G165" s="38">
        <v>5089</v>
      </c>
      <c r="H165" s="36">
        <v>3576</v>
      </c>
      <c r="I165" s="37">
        <v>1635</v>
      </c>
      <c r="J165" s="38">
        <v>1941</v>
      </c>
    </row>
    <row r="166" spans="1:10">
      <c r="A166" s="35" t="s">
        <v>278</v>
      </c>
      <c r="B166" s="36">
        <v>12600</v>
      </c>
      <c r="C166" s="37">
        <v>5619</v>
      </c>
      <c r="D166" s="38">
        <v>6981</v>
      </c>
      <c r="E166" s="36">
        <v>8863</v>
      </c>
      <c r="F166" s="37">
        <v>3884</v>
      </c>
      <c r="G166" s="38">
        <v>4979</v>
      </c>
      <c r="H166" s="36">
        <v>3737</v>
      </c>
      <c r="I166" s="37">
        <v>1735</v>
      </c>
      <c r="J166" s="38">
        <v>2002</v>
      </c>
    </row>
    <row r="167" spans="1:10">
      <c r="A167" s="35" t="s">
        <v>279</v>
      </c>
      <c r="B167" s="36">
        <v>13560</v>
      </c>
      <c r="C167" s="37">
        <v>5800</v>
      </c>
      <c r="D167" s="38">
        <v>7760</v>
      </c>
      <c r="E167" s="36">
        <v>9507</v>
      </c>
      <c r="F167" s="37">
        <v>3977</v>
      </c>
      <c r="G167" s="38">
        <v>5530</v>
      </c>
      <c r="H167" s="36">
        <v>4053</v>
      </c>
      <c r="I167" s="37">
        <v>1823</v>
      </c>
      <c r="J167" s="38">
        <v>2230</v>
      </c>
    </row>
    <row r="168" spans="1:10">
      <c r="A168" s="35" t="s">
        <v>280</v>
      </c>
      <c r="B168" s="36">
        <v>13751</v>
      </c>
      <c r="C168" s="37">
        <v>5794</v>
      </c>
      <c r="D168" s="38">
        <v>7957</v>
      </c>
      <c r="E168" s="36">
        <v>9552</v>
      </c>
      <c r="F168" s="37">
        <v>3893</v>
      </c>
      <c r="G168" s="38">
        <v>5659</v>
      </c>
      <c r="H168" s="36">
        <v>4199</v>
      </c>
      <c r="I168" s="37">
        <v>1901</v>
      </c>
      <c r="J168" s="38">
        <v>2298</v>
      </c>
    </row>
    <row r="169" spans="1:10">
      <c r="A169" s="35" t="s">
        <v>281</v>
      </c>
      <c r="B169" s="36">
        <v>14903</v>
      </c>
      <c r="C169" s="37">
        <v>6335</v>
      </c>
      <c r="D169" s="38">
        <v>8568</v>
      </c>
      <c r="E169" s="36">
        <v>10408</v>
      </c>
      <c r="F169" s="37">
        <v>4267</v>
      </c>
      <c r="G169" s="38">
        <v>6141</v>
      </c>
      <c r="H169" s="36">
        <v>4495</v>
      </c>
      <c r="I169" s="37">
        <v>2068</v>
      </c>
      <c r="J169" s="38">
        <v>2427</v>
      </c>
    </row>
    <row r="170" spans="1:10">
      <c r="A170" s="35" t="s">
        <v>282</v>
      </c>
      <c r="B170" s="36">
        <v>15482</v>
      </c>
      <c r="C170" s="37">
        <v>6477</v>
      </c>
      <c r="D170" s="38">
        <v>9005</v>
      </c>
      <c r="E170" s="36">
        <v>10690</v>
      </c>
      <c r="F170" s="37">
        <v>4360</v>
      </c>
      <c r="G170" s="38">
        <v>6330</v>
      </c>
      <c r="H170" s="36">
        <v>4792</v>
      </c>
      <c r="I170" s="37">
        <v>2117</v>
      </c>
      <c r="J170" s="38">
        <v>2675</v>
      </c>
    </row>
    <row r="171" spans="1:10">
      <c r="A171" s="35" t="s">
        <v>283</v>
      </c>
      <c r="B171" s="36">
        <v>14748</v>
      </c>
      <c r="C171" s="37">
        <v>5976</v>
      </c>
      <c r="D171" s="38">
        <v>8772</v>
      </c>
      <c r="E171" s="36">
        <v>10171</v>
      </c>
      <c r="F171" s="37">
        <v>3975</v>
      </c>
      <c r="G171" s="38">
        <v>6196</v>
      </c>
      <c r="H171" s="36">
        <v>4577</v>
      </c>
      <c r="I171" s="37">
        <v>2001</v>
      </c>
      <c r="J171" s="38">
        <v>2576</v>
      </c>
    </row>
    <row r="172" spans="1:10">
      <c r="A172" s="35" t="s">
        <v>284</v>
      </c>
      <c r="B172" s="36">
        <v>14683</v>
      </c>
      <c r="C172" s="37">
        <v>5803</v>
      </c>
      <c r="D172" s="38">
        <v>8880</v>
      </c>
      <c r="E172" s="36">
        <v>10209</v>
      </c>
      <c r="F172" s="37">
        <v>3887</v>
      </c>
      <c r="G172" s="38">
        <v>6322</v>
      </c>
      <c r="H172" s="36">
        <v>4474</v>
      </c>
      <c r="I172" s="37">
        <v>1916</v>
      </c>
      <c r="J172" s="38">
        <v>2558</v>
      </c>
    </row>
    <row r="173" spans="1:10">
      <c r="A173" s="35" t="s">
        <v>285</v>
      </c>
      <c r="B173" s="36">
        <v>14122</v>
      </c>
      <c r="C173" s="37">
        <v>5340</v>
      </c>
      <c r="D173" s="38">
        <v>8782</v>
      </c>
      <c r="E173" s="36">
        <v>9799</v>
      </c>
      <c r="F173" s="37">
        <v>3536</v>
      </c>
      <c r="G173" s="38">
        <v>6263</v>
      </c>
      <c r="H173" s="36">
        <v>4323</v>
      </c>
      <c r="I173" s="37">
        <v>1804</v>
      </c>
      <c r="J173" s="38">
        <v>2519</v>
      </c>
    </row>
    <row r="174" spans="1:10">
      <c r="A174" s="35" t="s">
        <v>286</v>
      </c>
      <c r="B174" s="36">
        <v>14116</v>
      </c>
      <c r="C174" s="37">
        <v>5408</v>
      </c>
      <c r="D174" s="38">
        <v>8708</v>
      </c>
      <c r="E174" s="36">
        <v>10002</v>
      </c>
      <c r="F174" s="37">
        <v>3692</v>
      </c>
      <c r="G174" s="38">
        <v>6310</v>
      </c>
      <c r="H174" s="36">
        <v>4114</v>
      </c>
      <c r="I174" s="37">
        <v>1716</v>
      </c>
      <c r="J174" s="38">
        <v>2398</v>
      </c>
    </row>
    <row r="175" spans="1:10">
      <c r="A175" s="35" t="s">
        <v>287</v>
      </c>
      <c r="B175" s="36">
        <v>14382</v>
      </c>
      <c r="C175" s="37">
        <v>5381</v>
      </c>
      <c r="D175" s="38">
        <v>9001</v>
      </c>
      <c r="E175" s="36">
        <v>10104</v>
      </c>
      <c r="F175" s="37">
        <v>3635</v>
      </c>
      <c r="G175" s="38">
        <v>6469</v>
      </c>
      <c r="H175" s="36">
        <v>4278</v>
      </c>
      <c r="I175" s="37">
        <v>1746</v>
      </c>
      <c r="J175" s="38">
        <v>2532</v>
      </c>
    </row>
    <row r="176" spans="1:10">
      <c r="A176" s="35" t="s">
        <v>288</v>
      </c>
      <c r="B176" s="36">
        <v>14060</v>
      </c>
      <c r="C176" s="37">
        <v>5009</v>
      </c>
      <c r="D176" s="38">
        <v>9051</v>
      </c>
      <c r="E176" s="36">
        <v>10092</v>
      </c>
      <c r="F176" s="37">
        <v>3464</v>
      </c>
      <c r="G176" s="38">
        <v>6628</v>
      </c>
      <c r="H176" s="36">
        <v>3968</v>
      </c>
      <c r="I176" s="37">
        <v>1545</v>
      </c>
      <c r="J176" s="38">
        <v>2423</v>
      </c>
    </row>
    <row r="177" spans="1:10">
      <c r="A177" s="35" t="s">
        <v>289</v>
      </c>
      <c r="B177" s="36">
        <v>12072</v>
      </c>
      <c r="C177" s="37">
        <v>4364</v>
      </c>
      <c r="D177" s="38">
        <v>7708</v>
      </c>
      <c r="E177" s="36">
        <v>8685</v>
      </c>
      <c r="F177" s="37">
        <v>3018</v>
      </c>
      <c r="G177" s="38">
        <v>5667</v>
      </c>
      <c r="H177" s="36">
        <v>3387</v>
      </c>
      <c r="I177" s="37">
        <v>1346</v>
      </c>
      <c r="J177" s="38">
        <v>2041</v>
      </c>
    </row>
    <row r="178" spans="1:10">
      <c r="A178" s="35" t="s">
        <v>290</v>
      </c>
      <c r="B178" s="36">
        <v>12003</v>
      </c>
      <c r="C178" s="37">
        <v>4167</v>
      </c>
      <c r="D178" s="38">
        <v>7836</v>
      </c>
      <c r="E178" s="36">
        <v>8765</v>
      </c>
      <c r="F178" s="37">
        <v>2907</v>
      </c>
      <c r="G178" s="38">
        <v>5858</v>
      </c>
      <c r="H178" s="36">
        <v>3238</v>
      </c>
      <c r="I178" s="37">
        <v>1260</v>
      </c>
      <c r="J178" s="38">
        <v>1978</v>
      </c>
    </row>
    <row r="179" spans="1:10">
      <c r="A179" s="35" t="s">
        <v>291</v>
      </c>
      <c r="B179" s="36">
        <v>11300</v>
      </c>
      <c r="C179" s="37">
        <v>3866</v>
      </c>
      <c r="D179" s="38">
        <v>7434</v>
      </c>
      <c r="E179" s="36">
        <v>8399</v>
      </c>
      <c r="F179" s="37">
        <v>2771</v>
      </c>
      <c r="G179" s="38">
        <v>5628</v>
      </c>
      <c r="H179" s="36">
        <v>2901</v>
      </c>
      <c r="I179" s="37">
        <v>1095</v>
      </c>
      <c r="J179" s="38">
        <v>1806</v>
      </c>
    </row>
    <row r="180" spans="1:10">
      <c r="A180" s="35" t="s">
        <v>292</v>
      </c>
      <c r="B180" s="36">
        <v>10410</v>
      </c>
      <c r="C180" s="37">
        <v>3473</v>
      </c>
      <c r="D180" s="38">
        <v>6937</v>
      </c>
      <c r="E180" s="36">
        <v>7765</v>
      </c>
      <c r="F180" s="37">
        <v>2476</v>
      </c>
      <c r="G180" s="38">
        <v>5289</v>
      </c>
      <c r="H180" s="36">
        <v>2645</v>
      </c>
      <c r="I180" s="37">
        <v>997</v>
      </c>
      <c r="J180" s="38">
        <v>1648</v>
      </c>
    </row>
    <row r="181" spans="1:10">
      <c r="A181" s="35" t="s">
        <v>293</v>
      </c>
      <c r="B181" s="36">
        <v>10684</v>
      </c>
      <c r="C181" s="37">
        <v>3440</v>
      </c>
      <c r="D181" s="38">
        <v>7244</v>
      </c>
      <c r="E181" s="36">
        <v>8017</v>
      </c>
      <c r="F181" s="37">
        <v>2463</v>
      </c>
      <c r="G181" s="38">
        <v>5554</v>
      </c>
      <c r="H181" s="36">
        <v>2667</v>
      </c>
      <c r="I181" s="37">
        <v>977</v>
      </c>
      <c r="J181" s="38">
        <v>1690</v>
      </c>
    </row>
    <row r="182" spans="1:10">
      <c r="A182" s="35" t="s">
        <v>294</v>
      </c>
      <c r="B182" s="36">
        <v>7324</v>
      </c>
      <c r="C182" s="37">
        <v>2322</v>
      </c>
      <c r="D182" s="38">
        <v>5002</v>
      </c>
      <c r="E182" s="36">
        <v>5541</v>
      </c>
      <c r="F182" s="37">
        <v>1682</v>
      </c>
      <c r="G182" s="38">
        <v>3859</v>
      </c>
      <c r="H182" s="36">
        <v>1783</v>
      </c>
      <c r="I182" s="37">
        <v>640</v>
      </c>
      <c r="J182" s="38">
        <v>1143</v>
      </c>
    </row>
    <row r="183" spans="1:10">
      <c r="A183" s="35" t="s">
        <v>295</v>
      </c>
      <c r="B183" s="36">
        <v>7244</v>
      </c>
      <c r="C183" s="37">
        <v>2269</v>
      </c>
      <c r="D183" s="38">
        <v>4975</v>
      </c>
      <c r="E183" s="36">
        <v>5615</v>
      </c>
      <c r="F183" s="37">
        <v>1691</v>
      </c>
      <c r="G183" s="38">
        <v>3924</v>
      </c>
      <c r="H183" s="36">
        <v>1629</v>
      </c>
      <c r="I183" s="37">
        <v>578</v>
      </c>
      <c r="J183" s="38">
        <v>1051</v>
      </c>
    </row>
    <row r="184" spans="1:10">
      <c r="A184" s="35" t="s">
        <v>296</v>
      </c>
      <c r="B184" s="36">
        <v>6476</v>
      </c>
      <c r="C184" s="37">
        <v>1979</v>
      </c>
      <c r="D184" s="38">
        <v>4497</v>
      </c>
      <c r="E184" s="36">
        <v>5019</v>
      </c>
      <c r="F184" s="37">
        <v>1452</v>
      </c>
      <c r="G184" s="38">
        <v>3567</v>
      </c>
      <c r="H184" s="36">
        <v>1457</v>
      </c>
      <c r="I184" s="37">
        <v>527</v>
      </c>
      <c r="J184" s="38">
        <v>930</v>
      </c>
    </row>
    <row r="185" spans="1:10">
      <c r="A185" s="35" t="s">
        <v>297</v>
      </c>
      <c r="B185" s="36">
        <v>3639</v>
      </c>
      <c r="C185" s="37">
        <v>1029</v>
      </c>
      <c r="D185" s="38">
        <v>2610</v>
      </c>
      <c r="E185" s="36">
        <v>2938</v>
      </c>
      <c r="F185" s="37">
        <v>803</v>
      </c>
      <c r="G185" s="38">
        <v>2135</v>
      </c>
      <c r="H185" s="36">
        <v>701</v>
      </c>
      <c r="I185" s="37">
        <v>226</v>
      </c>
      <c r="J185" s="38">
        <v>475</v>
      </c>
    </row>
    <row r="186" spans="1:10">
      <c r="A186" s="35" t="s">
        <v>298</v>
      </c>
      <c r="B186" s="36">
        <v>2455</v>
      </c>
      <c r="C186" s="37">
        <v>746</v>
      </c>
      <c r="D186" s="38">
        <v>1709</v>
      </c>
      <c r="E186" s="36">
        <v>1934</v>
      </c>
      <c r="F186" s="37">
        <v>559</v>
      </c>
      <c r="G186" s="38">
        <v>1375</v>
      </c>
      <c r="H186" s="36">
        <v>521</v>
      </c>
      <c r="I186" s="37">
        <v>187</v>
      </c>
      <c r="J186" s="38">
        <v>334</v>
      </c>
    </row>
    <row r="187" spans="1:10">
      <c r="A187" s="35" t="s">
        <v>299</v>
      </c>
      <c r="B187" s="36">
        <v>2010</v>
      </c>
      <c r="C187" s="37">
        <v>560</v>
      </c>
      <c r="D187" s="38">
        <v>1450</v>
      </c>
      <c r="E187" s="36">
        <v>1569</v>
      </c>
      <c r="F187" s="37">
        <v>432</v>
      </c>
      <c r="G187" s="38">
        <v>1137</v>
      </c>
      <c r="H187" s="36">
        <v>441</v>
      </c>
      <c r="I187" s="37">
        <v>128</v>
      </c>
      <c r="J187" s="38">
        <v>313</v>
      </c>
    </row>
    <row r="188" spans="1:10">
      <c r="A188" s="35" t="s">
        <v>300</v>
      </c>
      <c r="B188" s="36">
        <v>2995</v>
      </c>
      <c r="C188" s="37">
        <v>781</v>
      </c>
      <c r="D188" s="38">
        <v>2214</v>
      </c>
      <c r="E188" s="36">
        <v>2314</v>
      </c>
      <c r="F188" s="37">
        <v>598</v>
      </c>
      <c r="G188" s="38">
        <v>1716</v>
      </c>
      <c r="H188" s="36">
        <v>681</v>
      </c>
      <c r="I188" s="37">
        <v>183</v>
      </c>
      <c r="J188" s="38">
        <v>498</v>
      </c>
    </row>
    <row r="189" spans="1:10">
      <c r="A189" s="35" t="s">
        <v>301</v>
      </c>
      <c r="B189" s="36">
        <v>4771</v>
      </c>
      <c r="C189" s="37">
        <v>1181</v>
      </c>
      <c r="D189" s="38">
        <v>3590</v>
      </c>
      <c r="E189" s="36">
        <v>3630</v>
      </c>
      <c r="F189" s="37">
        <v>857</v>
      </c>
      <c r="G189" s="38">
        <v>2773</v>
      </c>
      <c r="H189" s="36">
        <v>1141</v>
      </c>
      <c r="I189" s="37">
        <v>324</v>
      </c>
      <c r="J189" s="38">
        <v>817</v>
      </c>
    </row>
    <row r="190" spans="1:10">
      <c r="A190" s="35" t="s">
        <v>302</v>
      </c>
      <c r="B190" s="36">
        <v>4125</v>
      </c>
      <c r="C190" s="37">
        <v>965</v>
      </c>
      <c r="D190" s="38">
        <v>3160</v>
      </c>
      <c r="E190" s="36">
        <v>3108</v>
      </c>
      <c r="F190" s="37">
        <v>672</v>
      </c>
      <c r="G190" s="38">
        <v>2436</v>
      </c>
      <c r="H190" s="36">
        <v>1017</v>
      </c>
      <c r="I190" s="37">
        <v>293</v>
      </c>
      <c r="J190" s="38">
        <v>724</v>
      </c>
    </row>
    <row r="191" spans="1:10">
      <c r="A191" s="35" t="s">
        <v>303</v>
      </c>
      <c r="B191" s="36">
        <v>4246</v>
      </c>
      <c r="C191" s="37">
        <v>935</v>
      </c>
      <c r="D191" s="38">
        <v>3311</v>
      </c>
      <c r="E191" s="36">
        <v>3261</v>
      </c>
      <c r="F191" s="37">
        <v>679</v>
      </c>
      <c r="G191" s="38">
        <v>2582</v>
      </c>
      <c r="H191" s="36">
        <v>985</v>
      </c>
      <c r="I191" s="37">
        <v>256</v>
      </c>
      <c r="J191" s="38">
        <v>729</v>
      </c>
    </row>
    <row r="192" spans="1:10">
      <c r="A192" s="35" t="s">
        <v>304</v>
      </c>
      <c r="B192" s="36">
        <v>3614</v>
      </c>
      <c r="C192" s="37">
        <v>853</v>
      </c>
      <c r="D192" s="38">
        <v>2761</v>
      </c>
      <c r="E192" s="36">
        <v>2724</v>
      </c>
      <c r="F192" s="37">
        <v>614</v>
      </c>
      <c r="G192" s="38">
        <v>2110</v>
      </c>
      <c r="H192" s="36">
        <v>890</v>
      </c>
      <c r="I192" s="37">
        <v>239</v>
      </c>
      <c r="J192" s="38">
        <v>651</v>
      </c>
    </row>
    <row r="193" spans="1:10">
      <c r="A193" s="35" t="s">
        <v>305</v>
      </c>
      <c r="B193" s="36">
        <v>3176</v>
      </c>
      <c r="C193" s="37">
        <v>750</v>
      </c>
      <c r="D193" s="38">
        <v>2426</v>
      </c>
      <c r="E193" s="36">
        <v>2349</v>
      </c>
      <c r="F193" s="37">
        <v>494</v>
      </c>
      <c r="G193" s="38">
        <v>1855</v>
      </c>
      <c r="H193" s="36">
        <v>827</v>
      </c>
      <c r="I193" s="37">
        <v>256</v>
      </c>
      <c r="J193" s="38">
        <v>571</v>
      </c>
    </row>
    <row r="194" spans="1:10">
      <c r="A194" s="35" t="s">
        <v>306</v>
      </c>
      <c r="B194" s="36">
        <v>2053</v>
      </c>
      <c r="C194" s="37">
        <v>439</v>
      </c>
      <c r="D194" s="38">
        <v>1614</v>
      </c>
      <c r="E194" s="36">
        <v>1508</v>
      </c>
      <c r="F194" s="37">
        <v>306</v>
      </c>
      <c r="G194" s="38">
        <v>1202</v>
      </c>
      <c r="H194" s="36">
        <v>545</v>
      </c>
      <c r="I194" s="37">
        <v>133</v>
      </c>
      <c r="J194" s="38">
        <v>412</v>
      </c>
    </row>
    <row r="195" spans="1:10">
      <c r="A195" s="35" t="s">
        <v>307</v>
      </c>
      <c r="B195" s="36">
        <v>1720</v>
      </c>
      <c r="C195" s="37">
        <v>364</v>
      </c>
      <c r="D195" s="38">
        <v>1356</v>
      </c>
      <c r="E195" s="36">
        <v>1249</v>
      </c>
      <c r="F195" s="37">
        <v>242</v>
      </c>
      <c r="G195" s="38">
        <v>1007</v>
      </c>
      <c r="H195" s="36">
        <v>471</v>
      </c>
      <c r="I195" s="37">
        <v>122</v>
      </c>
      <c r="J195" s="38">
        <v>349</v>
      </c>
    </row>
    <row r="196" spans="1:10">
      <c r="A196" s="35" t="s">
        <v>308</v>
      </c>
      <c r="B196" s="36">
        <v>1212</v>
      </c>
      <c r="C196" s="37">
        <v>218</v>
      </c>
      <c r="D196" s="38">
        <v>994</v>
      </c>
      <c r="E196" s="36">
        <v>838</v>
      </c>
      <c r="F196" s="37">
        <v>143</v>
      </c>
      <c r="G196" s="38">
        <v>695</v>
      </c>
      <c r="H196" s="36">
        <v>374</v>
      </c>
      <c r="I196" s="37">
        <v>75</v>
      </c>
      <c r="J196" s="38">
        <v>299</v>
      </c>
    </row>
    <row r="197" spans="1:10">
      <c r="A197" s="35" t="s">
        <v>309</v>
      </c>
      <c r="B197" s="36">
        <v>1145</v>
      </c>
      <c r="C197" s="37">
        <v>207</v>
      </c>
      <c r="D197" s="38">
        <v>938</v>
      </c>
      <c r="E197" s="36">
        <v>811</v>
      </c>
      <c r="F197" s="37">
        <v>136</v>
      </c>
      <c r="G197" s="38">
        <v>675</v>
      </c>
      <c r="H197" s="36">
        <v>334</v>
      </c>
      <c r="I197" s="37">
        <v>71</v>
      </c>
      <c r="J197" s="38">
        <v>263</v>
      </c>
    </row>
    <row r="198" spans="1:10">
      <c r="A198" s="35" t="s">
        <v>310</v>
      </c>
      <c r="B198" s="36">
        <v>1487</v>
      </c>
      <c r="C198" s="37">
        <v>259</v>
      </c>
      <c r="D198" s="38">
        <v>1228</v>
      </c>
      <c r="E198" s="36">
        <v>1104</v>
      </c>
      <c r="F198" s="37">
        <v>199</v>
      </c>
      <c r="G198" s="38">
        <v>905</v>
      </c>
      <c r="H198" s="36">
        <v>383</v>
      </c>
      <c r="I198" s="37">
        <v>60</v>
      </c>
      <c r="J198" s="38">
        <v>323</v>
      </c>
    </row>
    <row r="199" spans="1:10">
      <c r="A199" s="35" t="s">
        <v>311</v>
      </c>
      <c r="B199" s="36">
        <v>510</v>
      </c>
      <c r="C199" s="37">
        <v>116</v>
      </c>
      <c r="D199" s="38">
        <v>394</v>
      </c>
      <c r="E199" s="36">
        <v>343</v>
      </c>
      <c r="F199" s="37">
        <v>63</v>
      </c>
      <c r="G199" s="38">
        <v>280</v>
      </c>
      <c r="H199" s="36">
        <v>167</v>
      </c>
      <c r="I199" s="37">
        <v>53</v>
      </c>
      <c r="J199" s="38">
        <v>114</v>
      </c>
    </row>
    <row r="200" spans="1:10">
      <c r="A200" s="35" t="s">
        <v>312</v>
      </c>
      <c r="B200" s="36">
        <v>205</v>
      </c>
      <c r="C200" s="37">
        <v>64</v>
      </c>
      <c r="D200" s="38">
        <v>141</v>
      </c>
      <c r="E200" s="36">
        <v>120</v>
      </c>
      <c r="F200" s="37">
        <v>19</v>
      </c>
      <c r="G200" s="38">
        <v>101</v>
      </c>
      <c r="H200" s="36">
        <v>85</v>
      </c>
      <c r="I200" s="37">
        <v>45</v>
      </c>
      <c r="J200" s="38">
        <v>40</v>
      </c>
    </row>
    <row r="201" spans="1:10">
      <c r="A201" s="35" t="s">
        <v>313</v>
      </c>
      <c r="B201" s="36">
        <v>91</v>
      </c>
      <c r="C201" s="37">
        <v>39</v>
      </c>
      <c r="D201" s="38">
        <v>52</v>
      </c>
      <c r="E201" s="36">
        <v>59</v>
      </c>
      <c r="F201" s="37">
        <v>16</v>
      </c>
      <c r="G201" s="38">
        <v>43</v>
      </c>
      <c r="H201" s="36">
        <v>32</v>
      </c>
      <c r="I201" s="37">
        <v>23</v>
      </c>
      <c r="J201" s="38">
        <v>9</v>
      </c>
    </row>
    <row r="202" spans="1:10">
      <c r="A202" s="35" t="s">
        <v>314</v>
      </c>
      <c r="B202" s="36">
        <v>69</v>
      </c>
      <c r="C202" s="37">
        <v>20</v>
      </c>
      <c r="D202" s="38">
        <v>49</v>
      </c>
      <c r="E202" s="36">
        <v>49</v>
      </c>
      <c r="F202" s="37">
        <v>12</v>
      </c>
      <c r="G202" s="38">
        <v>37</v>
      </c>
      <c r="H202" s="36">
        <v>20</v>
      </c>
      <c r="I202" s="37">
        <v>8</v>
      </c>
      <c r="J202" s="38">
        <v>12</v>
      </c>
    </row>
    <row r="203" spans="1:10">
      <c r="A203" s="35" t="s">
        <v>315</v>
      </c>
      <c r="B203" s="36">
        <v>32</v>
      </c>
      <c r="C203" s="37">
        <v>15</v>
      </c>
      <c r="D203" s="38">
        <v>17</v>
      </c>
      <c r="E203" s="36">
        <v>18</v>
      </c>
      <c r="F203" s="37">
        <v>5</v>
      </c>
      <c r="G203" s="38">
        <v>13</v>
      </c>
      <c r="H203" s="36">
        <v>14</v>
      </c>
      <c r="I203" s="37">
        <v>10</v>
      </c>
      <c r="J203" s="38">
        <v>4</v>
      </c>
    </row>
    <row r="204" spans="1:10">
      <c r="A204" s="35" t="s">
        <v>316</v>
      </c>
      <c r="B204" s="36">
        <v>54</v>
      </c>
      <c r="C204" s="37">
        <v>31</v>
      </c>
      <c r="D204" s="38">
        <v>23</v>
      </c>
      <c r="E204" s="36">
        <v>18</v>
      </c>
      <c r="F204" s="37">
        <v>7</v>
      </c>
      <c r="G204" s="38">
        <v>11</v>
      </c>
      <c r="H204" s="36">
        <v>36</v>
      </c>
      <c r="I204" s="37">
        <v>24</v>
      </c>
      <c r="J204" s="38">
        <v>12</v>
      </c>
    </row>
    <row r="205" spans="1:10">
      <c r="A205" s="35" t="s">
        <v>317</v>
      </c>
      <c r="B205" s="36">
        <v>49</v>
      </c>
      <c r="C205" s="37">
        <v>12</v>
      </c>
      <c r="D205" s="38">
        <v>37</v>
      </c>
      <c r="E205" s="36">
        <v>32</v>
      </c>
      <c r="F205" s="37">
        <v>6</v>
      </c>
      <c r="G205" s="38">
        <v>26</v>
      </c>
      <c r="H205" s="36">
        <v>17</v>
      </c>
      <c r="I205" s="37">
        <v>6</v>
      </c>
      <c r="J205" s="38">
        <v>11</v>
      </c>
    </row>
    <row r="206" spans="1:10">
      <c r="A206" s="35" t="s">
        <v>318</v>
      </c>
      <c r="B206" s="36">
        <v>21</v>
      </c>
      <c r="C206" s="37">
        <v>7</v>
      </c>
      <c r="D206" s="38">
        <v>14</v>
      </c>
      <c r="E206" s="36">
        <v>15</v>
      </c>
      <c r="F206" s="37">
        <v>3</v>
      </c>
      <c r="G206" s="38">
        <v>12</v>
      </c>
      <c r="H206" s="36">
        <v>6</v>
      </c>
      <c r="I206" s="37">
        <v>4</v>
      </c>
      <c r="J206" s="38">
        <v>2</v>
      </c>
    </row>
    <row r="207" ht="39.6" spans="1:10">
      <c r="A207" s="35" t="s">
        <v>319</v>
      </c>
      <c r="B207" s="36">
        <v>39</v>
      </c>
      <c r="C207" s="37">
        <v>18</v>
      </c>
      <c r="D207" s="38">
        <v>21</v>
      </c>
      <c r="E207" s="36">
        <v>20</v>
      </c>
      <c r="F207" s="37">
        <v>1</v>
      </c>
      <c r="G207" s="38">
        <v>19</v>
      </c>
      <c r="H207" s="36">
        <v>19</v>
      </c>
      <c r="I207" s="37">
        <v>17</v>
      </c>
      <c r="J207" s="38">
        <v>2</v>
      </c>
    </row>
    <row r="208" spans="1:10">
      <c r="A208" s="39" t="s">
        <v>320</v>
      </c>
      <c r="B208" s="40">
        <v>177576</v>
      </c>
      <c r="C208" s="41">
        <v>92378</v>
      </c>
      <c r="D208" s="42">
        <v>85198</v>
      </c>
      <c r="E208" s="40">
        <v>141019</v>
      </c>
      <c r="F208" s="41">
        <v>72331</v>
      </c>
      <c r="G208" s="42">
        <v>68688</v>
      </c>
      <c r="H208" s="40">
        <v>36557</v>
      </c>
      <c r="I208" s="41">
        <v>20047</v>
      </c>
      <c r="J208" s="42">
        <v>16510</v>
      </c>
    </row>
    <row r="209" spans="1:26">
      <c r="A209" s="39" t="s">
        <v>321</v>
      </c>
      <c r="B209" s="40">
        <v>563376</v>
      </c>
      <c r="C209" s="41">
        <v>293925</v>
      </c>
      <c r="D209" s="42">
        <v>269451</v>
      </c>
      <c r="E209" s="40">
        <v>450826</v>
      </c>
      <c r="F209" s="41">
        <v>230410</v>
      </c>
      <c r="G209" s="42">
        <v>220416</v>
      </c>
      <c r="H209" s="40">
        <v>112550</v>
      </c>
      <c r="I209" s="41">
        <v>63515</v>
      </c>
      <c r="J209" s="42">
        <v>49035</v>
      </c>
    </row>
    <row r="210" spans="1:26">
      <c r="A210" s="43" t="s">
        <v>322</v>
      </c>
      <c r="B210" s="44">
        <v>257120</v>
      </c>
      <c r="C210" s="45">
        <v>74883</v>
      </c>
      <c r="D210" s="46">
        <v>182237</v>
      </c>
      <c r="E210" s="44">
        <v>186282</v>
      </c>
      <c r="F210" s="45">
        <v>51875</v>
      </c>
      <c r="G210" s="46">
        <v>134407</v>
      </c>
      <c r="H210" s="44">
        <v>70838</v>
      </c>
      <c r="I210" s="45">
        <v>23008</v>
      </c>
      <c r="J210" s="46">
        <v>47830</v>
      </c>
    </row>
    <row r="215" spans="1:26">
      <c r="A215" s="1" t="s">
        <v>323</v>
      </c>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t="s">
        <v>28</v>
      </c>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26.4" spans="1:26">
      <c r="A217" s="3" t="s">
        <v>28</v>
      </c>
      <c r="B217" s="3" t="s">
        <v>28</v>
      </c>
      <c r="C217" s="3" t="s">
        <v>187</v>
      </c>
      <c r="D217" s="2"/>
      <c r="E217" s="2"/>
      <c r="F217" s="2"/>
      <c r="G217" s="2"/>
      <c r="H217" s="2"/>
      <c r="I217" s="2"/>
      <c r="J217" s="2"/>
      <c r="K217" s="2"/>
      <c r="L217" s="2"/>
      <c r="M217" s="2"/>
      <c r="N217" s="2"/>
      <c r="O217" s="2"/>
      <c r="P217" s="2"/>
      <c r="Q217" s="2"/>
      <c r="R217" s="2"/>
      <c r="S217" s="2"/>
      <c r="T217" s="2"/>
      <c r="U217" s="2"/>
      <c r="V217" s="2"/>
      <c r="W217" s="2"/>
      <c r="X217" s="2"/>
      <c r="Y217" s="2"/>
      <c r="Z217" s="2"/>
    </row>
    <row r="218" ht="26.4" spans="1:26">
      <c r="A218" s="3" t="s">
        <v>17</v>
      </c>
      <c r="B218" s="3" t="s">
        <v>183</v>
      </c>
      <c r="C218" s="4">
        <v>10</v>
      </c>
      <c r="D218" s="2"/>
      <c r="E218" s="2"/>
      <c r="F218" s="2"/>
      <c r="G218" s="2"/>
      <c r="H218" s="2"/>
      <c r="I218" s="2"/>
      <c r="J218" s="2"/>
      <c r="K218" s="2"/>
      <c r="L218" s="2"/>
      <c r="M218" s="2"/>
      <c r="N218" s="2"/>
      <c r="O218" s="2"/>
      <c r="P218" s="2"/>
      <c r="Q218" s="2"/>
      <c r="R218" s="2"/>
      <c r="S218" s="2"/>
      <c r="T218" s="2"/>
      <c r="U218" s="2"/>
      <c r="V218" s="2"/>
      <c r="W218" s="2"/>
      <c r="X218" s="2"/>
      <c r="Y218" s="2"/>
      <c r="Z218" s="2"/>
    </row>
    <row r="219" ht="26.4" spans="1:26">
      <c r="A219" s="3" t="s">
        <v>18</v>
      </c>
      <c r="B219" s="3" t="s">
        <v>183</v>
      </c>
      <c r="C219" s="5">
        <v>8.2</v>
      </c>
      <c r="D219" s="2"/>
      <c r="E219" s="2"/>
      <c r="F219" s="2"/>
      <c r="G219" s="2"/>
      <c r="H219" s="2"/>
      <c r="I219" s="2"/>
      <c r="J219" s="2"/>
      <c r="K219" s="2"/>
      <c r="L219" s="2"/>
      <c r="M219" s="2"/>
      <c r="N219" s="2"/>
      <c r="O219" s="2"/>
      <c r="P219" s="2"/>
      <c r="Q219" s="2"/>
      <c r="R219" s="2"/>
      <c r="S219" s="2"/>
      <c r="T219" s="2"/>
      <c r="U219" s="2"/>
      <c r="V219" s="2"/>
      <c r="W219" s="2"/>
      <c r="X219" s="2"/>
      <c r="Y219" s="2"/>
      <c r="Z219" s="2"/>
    </row>
    <row r="220" ht="26.4" spans="1:26">
      <c r="A220" s="3" t="s">
        <v>19</v>
      </c>
      <c r="B220" s="3" t="s">
        <v>183</v>
      </c>
      <c r="C220" s="4">
        <v>2</v>
      </c>
      <c r="D220" s="2"/>
      <c r="E220" s="2"/>
      <c r="F220" s="2"/>
      <c r="G220" s="2"/>
      <c r="H220" s="2"/>
      <c r="I220" s="2"/>
      <c r="J220" s="2"/>
      <c r="K220" s="2"/>
      <c r="L220" s="2"/>
      <c r="M220" s="2"/>
      <c r="N220" s="2"/>
      <c r="O220" s="2"/>
      <c r="P220" s="2"/>
      <c r="Q220" s="2"/>
      <c r="R220" s="2"/>
      <c r="S220" s="2"/>
      <c r="T220" s="2"/>
      <c r="U220" s="2"/>
      <c r="V220" s="2"/>
      <c r="W220" s="2"/>
      <c r="X220" s="2"/>
      <c r="Y220" s="2"/>
      <c r="Z220" s="2"/>
    </row>
    <row r="221" ht="26.4" spans="1:26">
      <c r="A221" s="3" t="s">
        <v>20</v>
      </c>
      <c r="B221" s="3" t="s">
        <v>183</v>
      </c>
      <c r="C221" s="4">
        <v>23</v>
      </c>
      <c r="D221" s="2"/>
      <c r="E221" s="2"/>
      <c r="F221" s="2"/>
      <c r="G221" s="2"/>
      <c r="H221" s="2"/>
      <c r="I221" s="2"/>
      <c r="J221" s="2"/>
      <c r="K221" s="2"/>
      <c r="L221" s="2"/>
      <c r="M221" s="2"/>
      <c r="N221" s="2"/>
      <c r="O221" s="2"/>
      <c r="P221" s="2"/>
      <c r="Q221" s="2"/>
      <c r="R221" s="2"/>
      <c r="S221" s="2"/>
      <c r="T221" s="2"/>
      <c r="U221" s="2"/>
      <c r="V221" s="2"/>
      <c r="W221" s="2"/>
      <c r="X221" s="2"/>
      <c r="Y221" s="2"/>
      <c r="Z221" s="2"/>
    </row>
    <row r="222" ht="26.4" spans="1:26">
      <c r="A222" s="3" t="s">
        <v>21</v>
      </c>
      <c r="B222" s="3" t="s">
        <v>183</v>
      </c>
      <c r="C222" s="4">
        <v>3</v>
      </c>
      <c r="D222" s="2"/>
      <c r="E222" s="2"/>
      <c r="F222" s="2"/>
      <c r="G222" s="2"/>
      <c r="H222" s="2"/>
      <c r="I222" s="2"/>
      <c r="J222" s="2"/>
      <c r="K222" s="2"/>
      <c r="L222" s="2"/>
      <c r="M222" s="2"/>
      <c r="N222" s="2"/>
      <c r="O222" s="2"/>
      <c r="P222" s="2"/>
      <c r="Q222" s="2"/>
      <c r="R222" s="2"/>
      <c r="S222" s="2"/>
      <c r="T222" s="2"/>
      <c r="U222" s="2"/>
      <c r="V222" s="2"/>
      <c r="W222" s="2"/>
      <c r="X222" s="2"/>
      <c r="Y222" s="2"/>
      <c r="Z222" s="2"/>
    </row>
    <row r="223" ht="26.4" spans="1:26">
      <c r="A223" s="3" t="s">
        <v>22</v>
      </c>
      <c r="B223" s="3" t="s">
        <v>183</v>
      </c>
      <c r="C223" s="4">
        <v>5</v>
      </c>
      <c r="D223" s="2"/>
      <c r="E223" s="2"/>
      <c r="F223" s="2"/>
      <c r="G223" s="2"/>
      <c r="H223" s="2"/>
      <c r="I223" s="2"/>
      <c r="J223" s="2"/>
      <c r="K223" s="2"/>
      <c r="L223" s="2"/>
      <c r="M223" s="2"/>
      <c r="N223" s="2"/>
      <c r="O223" s="2"/>
      <c r="P223" s="2"/>
      <c r="Q223" s="2"/>
      <c r="R223" s="2"/>
      <c r="S223" s="2"/>
      <c r="T223" s="2"/>
      <c r="U223" s="2"/>
      <c r="V223" s="2"/>
      <c r="W223" s="2"/>
      <c r="X223" s="2"/>
      <c r="Y223" s="2"/>
      <c r="Z223" s="2"/>
    </row>
    <row r="226" spans="1:26">
      <c r="A226" s="1" t="s">
        <v>323</v>
      </c>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c r="A227" s="47" t="s">
        <v>28</v>
      </c>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26.4" spans="1:26">
      <c r="A228" s="3" t="s">
        <v>28</v>
      </c>
      <c r="B228" s="3" t="s">
        <v>28</v>
      </c>
      <c r="C228" s="3" t="s">
        <v>187</v>
      </c>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c r="A229" s="3" t="s">
        <v>17</v>
      </c>
      <c r="B229" s="3" t="s">
        <v>11</v>
      </c>
      <c r="C229" s="48">
        <v>14.4</v>
      </c>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26.4" spans="1:26">
      <c r="A230" s="3" t="s">
        <v>17</v>
      </c>
      <c r="B230" s="3" t="s">
        <v>183</v>
      </c>
      <c r="C230" s="49">
        <v>10</v>
      </c>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c r="A231" s="3" t="s">
        <v>18</v>
      </c>
      <c r="B231" s="3" t="s">
        <v>11</v>
      </c>
      <c r="C231" s="48">
        <v>17.7</v>
      </c>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26.4" spans="1:26">
      <c r="A232" s="3" t="s">
        <v>18</v>
      </c>
      <c r="B232" s="3" t="s">
        <v>183</v>
      </c>
      <c r="C232" s="48">
        <v>8.2</v>
      </c>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c r="A233" s="3" t="s">
        <v>19</v>
      </c>
      <c r="B233" s="3" t="s">
        <v>11</v>
      </c>
      <c r="C233" s="49">
        <v>14</v>
      </c>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26.4" spans="1:26">
      <c r="A234" s="3" t="s">
        <v>19</v>
      </c>
      <c r="B234" s="3" t="s">
        <v>183</v>
      </c>
      <c r="C234" s="49">
        <v>2</v>
      </c>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c r="A235" s="3" t="s">
        <v>20</v>
      </c>
      <c r="B235" s="3" t="s">
        <v>11</v>
      </c>
      <c r="C235" s="49">
        <v>12</v>
      </c>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26.4" spans="1:26">
      <c r="A236" s="3" t="s">
        <v>20</v>
      </c>
      <c r="B236" s="3" t="s">
        <v>183</v>
      </c>
      <c r="C236" s="49">
        <v>23</v>
      </c>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c r="A237" s="3" t="s">
        <v>21</v>
      </c>
      <c r="B237" s="3" t="s">
        <v>11</v>
      </c>
      <c r="C237" s="49">
        <v>15</v>
      </c>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26.4" spans="1:26">
      <c r="A238" s="3" t="s">
        <v>21</v>
      </c>
      <c r="B238" s="3" t="s">
        <v>183</v>
      </c>
      <c r="C238" s="49">
        <v>3</v>
      </c>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c r="A239" s="3" t="s">
        <v>22</v>
      </c>
      <c r="B239" s="3" t="s">
        <v>11</v>
      </c>
      <c r="C239" s="49">
        <v>17</v>
      </c>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26.4" spans="1:26">
      <c r="A240" s="3" t="s">
        <v>22</v>
      </c>
      <c r="B240" s="3" t="s">
        <v>183</v>
      </c>
      <c r="C240" s="49">
        <v>5</v>
      </c>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4" spans="1:26">
      <c r="A244" s="1" t="s">
        <v>324</v>
      </c>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t="s">
        <v>28</v>
      </c>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26.4" spans="1:26">
      <c r="A246" s="3" t="s">
        <v>28</v>
      </c>
      <c r="B246" s="3" t="s">
        <v>325</v>
      </c>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3" t="s">
        <v>28</v>
      </c>
      <c r="B247" s="3" t="s">
        <v>326</v>
      </c>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3" t="s">
        <v>14</v>
      </c>
      <c r="B248" s="4">
        <v>105</v>
      </c>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3" t="s">
        <v>16</v>
      </c>
      <c r="B249" s="5">
        <v>105.1</v>
      </c>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3" t="s">
        <v>17</v>
      </c>
      <c r="B250" s="5">
        <v>105.2</v>
      </c>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3" t="s">
        <v>18</v>
      </c>
      <c r="B251" s="5">
        <v>105.1</v>
      </c>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3" t="s">
        <v>19</v>
      </c>
      <c r="B252" s="5">
        <v>105.5</v>
      </c>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3" t="s">
        <v>20</v>
      </c>
      <c r="B253" s="5">
        <v>104.8</v>
      </c>
      <c r="C253" s="2"/>
      <c r="D253" s="2"/>
      <c r="E253" s="2"/>
      <c r="F253" s="2"/>
      <c r="G253" s="2"/>
      <c r="H253" s="2"/>
      <c r="I253" s="2"/>
      <c r="J253" s="2"/>
      <c r="K253" s="2"/>
      <c r="L253" s="2"/>
      <c r="M253" s="2"/>
      <c r="N253" s="2"/>
      <c r="O253" s="2"/>
      <c r="P253" s="2"/>
      <c r="Q253" s="2"/>
      <c r="R253" s="2"/>
      <c r="S253" s="2"/>
      <c r="T253" s="2"/>
      <c r="U253" s="2"/>
      <c r="V253" s="2"/>
      <c r="W253" s="2"/>
      <c r="X253" s="2"/>
      <c r="Y253" s="2"/>
      <c r="Z253" s="2"/>
    </row>
    <row r="256" ht="92.4" spans="1:26">
      <c r="A256" s="3" t="s">
        <v>28</v>
      </c>
      <c r="B256" s="3" t="s">
        <v>28</v>
      </c>
      <c r="C256" s="3" t="s">
        <v>325</v>
      </c>
    </row>
    <row r="257" spans="1:26">
      <c r="A257" s="3" t="s">
        <v>28</v>
      </c>
      <c r="B257" s="3" t="s">
        <v>28</v>
      </c>
      <c r="C257" s="3" t="s">
        <v>326</v>
      </c>
    </row>
    <row r="258" spans="1:26">
      <c r="A258" s="3" t="s">
        <v>184</v>
      </c>
      <c r="B258" s="3" t="s">
        <v>14</v>
      </c>
      <c r="C258" s="4">
        <v>7015</v>
      </c>
    </row>
    <row r="259" spans="1:26">
      <c r="A259" s="3" t="s">
        <v>184</v>
      </c>
      <c r="B259" s="3" t="s">
        <v>16</v>
      </c>
      <c r="C259" s="4">
        <v>4681</v>
      </c>
    </row>
    <row r="260" spans="1:26">
      <c r="A260" s="3" t="s">
        <v>184</v>
      </c>
      <c r="B260" s="3" t="s">
        <v>17</v>
      </c>
      <c r="C260" s="4">
        <v>5644</v>
      </c>
    </row>
    <row r="261" spans="1:26">
      <c r="A261" s="3" t="s">
        <v>184</v>
      </c>
      <c r="B261" s="3" t="s">
        <v>18</v>
      </c>
      <c r="C261" s="4">
        <v>7630</v>
      </c>
    </row>
    <row r="262" spans="1:26">
      <c r="A262" s="3" t="s">
        <v>184</v>
      </c>
      <c r="B262" s="3" t="s">
        <v>19</v>
      </c>
      <c r="C262" s="4">
        <v>9052</v>
      </c>
    </row>
    <row r="263" spans="1:26">
      <c r="A263" s="3" t="s">
        <v>184</v>
      </c>
      <c r="B263" s="3" t="s">
        <v>20</v>
      </c>
      <c r="C263" s="4">
        <v>4469</v>
      </c>
    </row>
    <row r="264" spans="1:26">
      <c r="A264" s="3" t="s">
        <v>184</v>
      </c>
      <c r="B264" s="3" t="s">
        <v>21</v>
      </c>
      <c r="C264" s="4">
        <v>9564</v>
      </c>
    </row>
    <row r="265" spans="1:26">
      <c r="A265" s="3" t="s">
        <v>184</v>
      </c>
      <c r="B265" s="3" t="s">
        <v>22</v>
      </c>
      <c r="C265" s="4">
        <v>14162</v>
      </c>
    </row>
    <row r="268" spans="1:26">
      <c r="A268" s="1" t="s">
        <v>206</v>
      </c>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t="s">
        <v>28</v>
      </c>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3" t="s">
        <v>28</v>
      </c>
      <c r="B270" s="3" t="s">
        <v>28</v>
      </c>
      <c r="C270" s="3" t="s">
        <v>14</v>
      </c>
      <c r="D270" s="3" t="s">
        <v>16</v>
      </c>
      <c r="E270" s="3" t="s">
        <v>17</v>
      </c>
      <c r="F270" s="3" t="s">
        <v>18</v>
      </c>
      <c r="G270" s="3" t="s">
        <v>19</v>
      </c>
      <c r="H270" s="3" t="s">
        <v>20</v>
      </c>
      <c r="I270" s="3" t="s">
        <v>21</v>
      </c>
      <c r="J270" s="3" t="s">
        <v>22</v>
      </c>
      <c r="K270" s="2"/>
      <c r="L270" s="2"/>
      <c r="M270" s="2"/>
      <c r="N270" s="2"/>
      <c r="O270" s="2"/>
      <c r="P270" s="2"/>
      <c r="Q270" s="2"/>
      <c r="R270" s="2"/>
      <c r="S270" s="2"/>
      <c r="T270" s="2"/>
      <c r="U270" s="2"/>
      <c r="V270" s="2"/>
      <c r="W270" s="2"/>
      <c r="X270" s="2"/>
      <c r="Y270" s="2"/>
      <c r="Z270" s="2"/>
    </row>
    <row r="271" ht="92.4" spans="1:26">
      <c r="A271" s="3" t="s">
        <v>184</v>
      </c>
      <c r="B271" s="3" t="s">
        <v>183</v>
      </c>
      <c r="C271" s="4">
        <v>25847</v>
      </c>
      <c r="D271" s="4">
        <v>24633</v>
      </c>
      <c r="E271" s="4">
        <v>23967</v>
      </c>
      <c r="F271" s="4">
        <v>22459</v>
      </c>
      <c r="G271" s="4">
        <v>22548</v>
      </c>
      <c r="H271" s="4">
        <v>22501</v>
      </c>
      <c r="I271" s="4">
        <v>21864</v>
      </c>
      <c r="J271" s="4">
        <v>20035</v>
      </c>
      <c r="K271" s="2"/>
      <c r="L271" s="2"/>
      <c r="M271" s="2"/>
      <c r="N271" s="2"/>
      <c r="O271" s="2"/>
      <c r="P271" s="2"/>
      <c r="Q271" s="2"/>
      <c r="R271" s="2"/>
      <c r="S271" s="2"/>
      <c r="T271" s="2"/>
      <c r="U271" s="2"/>
      <c r="V271" s="2"/>
      <c r="W271" s="2"/>
      <c r="X271" s="2"/>
      <c r="Y271" s="2"/>
      <c r="Z271" s="2"/>
    </row>
    <row r="274" spans="1:26">
      <c r="A274" s="1" t="s">
        <v>327</v>
      </c>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t="s">
        <v>28</v>
      </c>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92.4" spans="1:26">
      <c r="A276" s="3" t="s">
        <v>28</v>
      </c>
      <c r="B276" s="3" t="s">
        <v>28</v>
      </c>
      <c r="C276" s="3" t="s">
        <v>325</v>
      </c>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3" t="s">
        <v>328</v>
      </c>
      <c r="B277" s="3" t="s">
        <v>329</v>
      </c>
      <c r="C277" s="5">
        <v>29583351.5</v>
      </c>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3" t="s">
        <v>14</v>
      </c>
      <c r="B278" s="3" t="s">
        <v>329</v>
      </c>
      <c r="C278" s="5">
        <v>28452301.5</v>
      </c>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3" t="s">
        <v>16</v>
      </c>
      <c r="B279" s="3" t="s">
        <v>329</v>
      </c>
      <c r="C279" s="5">
        <v>34543077.7</v>
      </c>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3" t="s">
        <v>17</v>
      </c>
      <c r="B280" s="3" t="s">
        <v>329</v>
      </c>
      <c r="C280" s="5">
        <v>30778104.1</v>
      </c>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3" t="s">
        <v>18</v>
      </c>
      <c r="B281" s="3" t="s">
        <v>329</v>
      </c>
      <c r="C281" s="5">
        <v>31897263.9</v>
      </c>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3" t="s">
        <v>19</v>
      </c>
      <c r="B282" s="3" t="s">
        <v>329</v>
      </c>
      <c r="C282" s="4">
        <v>40635649</v>
      </c>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3" t="s">
        <v>20</v>
      </c>
      <c r="B283" s="3" t="s">
        <v>329</v>
      </c>
      <c r="C283" s="5">
        <v>41796355.8</v>
      </c>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3" t="s">
        <v>21</v>
      </c>
      <c r="B284" s="3" t="s">
        <v>329</v>
      </c>
      <c r="C284" s="5">
        <v>40556923.8</v>
      </c>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3" t="s">
        <v>22</v>
      </c>
      <c r="B285" s="3" t="s">
        <v>329</v>
      </c>
      <c r="C285" s="5">
        <v>45147014.4</v>
      </c>
      <c r="D285" s="2"/>
      <c r="E285" s="2"/>
      <c r="F285" s="2"/>
      <c r="G285" s="2"/>
      <c r="H285" s="2"/>
      <c r="I285" s="2"/>
      <c r="J285" s="2"/>
      <c r="K285" s="2"/>
      <c r="L285" s="2"/>
      <c r="M285" s="2"/>
      <c r="N285" s="2"/>
      <c r="O285" s="2"/>
      <c r="P285" s="2"/>
      <c r="Q285" s="2"/>
      <c r="R285" s="2"/>
      <c r="S285" s="2"/>
      <c r="T285" s="2"/>
      <c r="U285" s="2"/>
      <c r="V285" s="2"/>
      <c r="W285" s="2"/>
      <c r="X285" s="2"/>
      <c r="Y285" s="2"/>
      <c r="Z285" s="2"/>
    </row>
    <row r="288" spans="1:26">
      <c r="A288" s="1" t="s">
        <v>330</v>
      </c>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t="s">
        <v>28</v>
      </c>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92.4" spans="1:26">
      <c r="A290" s="3" t="s">
        <v>28</v>
      </c>
      <c r="B290" s="3" t="s">
        <v>28</v>
      </c>
      <c r="C290" s="3" t="s">
        <v>28</v>
      </c>
      <c r="D290" s="3" t="s">
        <v>11</v>
      </c>
      <c r="E290" s="2"/>
      <c r="F290" s="2"/>
      <c r="G290" s="2"/>
      <c r="H290" s="2"/>
      <c r="I290" s="2"/>
      <c r="J290" s="2"/>
      <c r="K290" s="2"/>
      <c r="L290" s="2"/>
      <c r="M290" s="2"/>
      <c r="N290" s="2"/>
      <c r="O290" s="2"/>
      <c r="P290" s="2"/>
      <c r="Q290" s="2"/>
      <c r="R290" s="2"/>
      <c r="S290" s="2"/>
      <c r="T290" s="2"/>
      <c r="U290" s="2"/>
      <c r="V290" s="2"/>
      <c r="W290" s="2"/>
      <c r="X290" s="2"/>
      <c r="Y290" s="2"/>
      <c r="Z290" s="2"/>
    </row>
    <row r="291" spans="1:26">
      <c r="A291" s="3" t="s">
        <v>331</v>
      </c>
      <c r="B291" s="3" t="s">
        <v>182</v>
      </c>
      <c r="C291" s="3" t="s">
        <v>14</v>
      </c>
      <c r="D291" s="4">
        <v>226009168</v>
      </c>
      <c r="E291" s="2"/>
      <c r="F291" s="2"/>
      <c r="G291" s="2"/>
      <c r="H291" s="2"/>
      <c r="I291" s="2"/>
      <c r="J291" s="2"/>
      <c r="K291" s="2"/>
      <c r="L291" s="2"/>
      <c r="M291" s="2"/>
      <c r="N291" s="2"/>
      <c r="O291" s="2"/>
      <c r="P291" s="2"/>
      <c r="Q291" s="2"/>
      <c r="R291" s="2"/>
      <c r="S291" s="2"/>
      <c r="T291" s="2"/>
      <c r="U291" s="2"/>
      <c r="V291" s="2"/>
      <c r="W291" s="2"/>
      <c r="X291" s="2"/>
      <c r="Y291" s="2"/>
      <c r="Z291" s="2"/>
    </row>
    <row r="292" spans="1:26">
      <c r="A292" s="3" t="s">
        <v>331</v>
      </c>
      <c r="B292" s="3" t="s">
        <v>182</v>
      </c>
      <c r="C292" s="3" t="s">
        <v>16</v>
      </c>
      <c r="D292" s="4">
        <v>171329970</v>
      </c>
      <c r="E292" s="2"/>
      <c r="F292" s="2"/>
      <c r="G292" s="2"/>
      <c r="H292" s="2"/>
      <c r="I292" s="2"/>
      <c r="J292" s="2"/>
      <c r="K292" s="2"/>
      <c r="L292" s="2"/>
      <c r="M292" s="2"/>
      <c r="N292" s="2"/>
      <c r="O292" s="2"/>
      <c r="P292" s="2"/>
      <c r="Q292" s="2"/>
      <c r="R292" s="2"/>
      <c r="S292" s="2"/>
      <c r="T292" s="2"/>
      <c r="U292" s="2"/>
      <c r="V292" s="2"/>
      <c r="W292" s="2"/>
      <c r="X292" s="2"/>
      <c r="Y292" s="2"/>
      <c r="Z292" s="2"/>
    </row>
    <row r="293" spans="1:26">
      <c r="A293" s="3" t="s">
        <v>331</v>
      </c>
      <c r="B293" s="3" t="s">
        <v>182</v>
      </c>
      <c r="C293" s="3" t="s">
        <v>17</v>
      </c>
      <c r="D293" s="4">
        <v>168083982</v>
      </c>
      <c r="E293" s="2"/>
      <c r="F293" s="2"/>
      <c r="G293" s="2"/>
      <c r="H293" s="2"/>
      <c r="I293" s="2"/>
      <c r="J293" s="2"/>
      <c r="K293" s="2"/>
      <c r="L293" s="2"/>
      <c r="M293" s="2"/>
      <c r="N293" s="2"/>
      <c r="O293" s="2"/>
      <c r="P293" s="2"/>
      <c r="Q293" s="2"/>
      <c r="R293" s="2"/>
      <c r="S293" s="2"/>
      <c r="T293" s="2"/>
      <c r="U293" s="2"/>
      <c r="V293" s="2"/>
      <c r="W293" s="2"/>
      <c r="X293" s="2"/>
      <c r="Y293" s="2"/>
      <c r="Z293" s="2"/>
    </row>
    <row r="294" spans="1:26">
      <c r="A294" s="3" t="s">
        <v>331</v>
      </c>
      <c r="B294" s="3" t="s">
        <v>182</v>
      </c>
      <c r="C294" s="3" t="s">
        <v>18</v>
      </c>
      <c r="D294" s="4">
        <v>172119285</v>
      </c>
      <c r="E294" s="2"/>
      <c r="F294" s="2"/>
      <c r="G294" s="2"/>
      <c r="H294" s="2"/>
      <c r="I294" s="2"/>
      <c r="J294" s="2"/>
      <c r="K294" s="2"/>
      <c r="L294" s="2"/>
      <c r="M294" s="2"/>
      <c r="N294" s="2"/>
      <c r="O294" s="2"/>
      <c r="P294" s="2"/>
      <c r="Q294" s="2"/>
      <c r="R294" s="2"/>
      <c r="S294" s="2"/>
      <c r="T294" s="2"/>
      <c r="U294" s="2"/>
      <c r="V294" s="2"/>
      <c r="W294" s="2"/>
      <c r="X294" s="2"/>
      <c r="Y294" s="2"/>
      <c r="Z294" s="2"/>
    </row>
    <row r="295" spans="1:26">
      <c r="A295" s="3" t="s">
        <v>331</v>
      </c>
      <c r="B295" s="3" t="s">
        <v>182</v>
      </c>
      <c r="C295" s="3" t="s">
        <v>19</v>
      </c>
      <c r="D295" s="4">
        <v>156366419</v>
      </c>
      <c r="E295" s="2"/>
      <c r="F295" s="2"/>
      <c r="G295" s="2"/>
      <c r="H295" s="2"/>
      <c r="I295" s="2"/>
      <c r="J295" s="2"/>
      <c r="K295" s="2"/>
      <c r="L295" s="2"/>
      <c r="M295" s="2"/>
      <c r="N295" s="2"/>
      <c r="O295" s="2"/>
      <c r="P295" s="2"/>
      <c r="Q295" s="2"/>
      <c r="R295" s="2"/>
      <c r="S295" s="2"/>
      <c r="T295" s="2"/>
      <c r="U295" s="2"/>
      <c r="V295" s="2"/>
      <c r="W295" s="2"/>
      <c r="X295" s="2"/>
      <c r="Y295" s="2"/>
      <c r="Z295" s="2"/>
    </row>
    <row r="296" spans="1:26">
      <c r="A296" s="3" t="s">
        <v>331</v>
      </c>
      <c r="B296" s="3" t="s">
        <v>182</v>
      </c>
      <c r="C296" s="3" t="s">
        <v>20</v>
      </c>
      <c r="D296" s="4">
        <v>162906927</v>
      </c>
      <c r="E296" s="2"/>
      <c r="F296" s="2"/>
      <c r="G296" s="2"/>
      <c r="H296" s="2"/>
      <c r="I296" s="2"/>
      <c r="J296" s="2"/>
      <c r="K296" s="2"/>
      <c r="L296" s="2"/>
      <c r="M296" s="2"/>
      <c r="N296" s="2"/>
      <c r="O296" s="2"/>
      <c r="P296" s="2"/>
      <c r="Q296" s="2"/>
      <c r="R296" s="2"/>
      <c r="S296" s="2"/>
      <c r="T296" s="2"/>
      <c r="U296" s="2"/>
      <c r="V296" s="2"/>
      <c r="W296" s="2"/>
      <c r="X296" s="2"/>
      <c r="Y296" s="2"/>
      <c r="Z296" s="2"/>
    </row>
    <row r="297" spans="1:26">
      <c r="A297" s="3" t="s">
        <v>331</v>
      </c>
      <c r="B297" s="3" t="s">
        <v>182</v>
      </c>
      <c r="C297" s="3" t="s">
        <v>21</v>
      </c>
      <c r="D297" s="4">
        <v>178774552</v>
      </c>
      <c r="E297" s="2"/>
      <c r="F297" s="2"/>
      <c r="G297" s="2"/>
      <c r="H297" s="2"/>
      <c r="I297" s="2"/>
      <c r="J297" s="2"/>
      <c r="K297" s="2"/>
      <c r="L297" s="2"/>
      <c r="M297" s="2"/>
      <c r="N297" s="2"/>
      <c r="O297" s="2"/>
      <c r="P297" s="2"/>
      <c r="Q297" s="2"/>
      <c r="R297" s="2"/>
      <c r="S297" s="2"/>
      <c r="T297" s="2"/>
      <c r="U297" s="2"/>
      <c r="V297" s="2"/>
      <c r="W297" s="2"/>
      <c r="X297" s="2"/>
      <c r="Y297" s="2"/>
      <c r="Z297" s="2"/>
    </row>
    <row r="298" spans="1:26">
      <c r="A298" s="3" t="s">
        <v>331</v>
      </c>
      <c r="B298" s="3" t="s">
        <v>182</v>
      </c>
      <c r="C298" s="3" t="s">
        <v>22</v>
      </c>
      <c r="D298" s="4">
        <v>199250767</v>
      </c>
      <c r="E298" s="2"/>
      <c r="F298" s="2"/>
      <c r="G298" s="2"/>
      <c r="H298" s="2"/>
      <c r="I298" s="2"/>
      <c r="J298" s="2"/>
      <c r="K298" s="2"/>
      <c r="L298" s="2"/>
      <c r="M298" s="2"/>
      <c r="N298" s="2"/>
      <c r="O298" s="2"/>
      <c r="P298" s="2"/>
      <c r="Q298" s="2"/>
      <c r="R298" s="2"/>
      <c r="S298" s="2"/>
      <c r="T298" s="2"/>
      <c r="U298" s="2"/>
      <c r="V298" s="2"/>
      <c r="W298" s="2"/>
      <c r="X298" s="2"/>
      <c r="Y298" s="2"/>
      <c r="Z298" s="2"/>
    </row>
    <row r="301" spans="1:26">
      <c r="B301" s="270" t="s">
        <v>332</v>
      </c>
      <c r="C301" s="50"/>
      <c r="D301" s="50"/>
      <c r="E301" s="50"/>
      <c r="F301" s="50"/>
      <c r="G301" s="50"/>
      <c r="H301" s="50"/>
      <c r="I301" s="50"/>
      <c r="J301" s="50"/>
      <c r="K301" s="50"/>
    </row>
    <row r="302" spans="1:26">
      <c r="B302" s="51" t="s">
        <v>210</v>
      </c>
      <c r="C302" s="51"/>
      <c r="D302" s="51"/>
      <c r="E302" s="51"/>
      <c r="F302" s="51"/>
      <c r="G302" s="51"/>
      <c r="H302" s="51"/>
      <c r="I302" s="51"/>
      <c r="J302" s="51"/>
      <c r="K302" s="51"/>
    </row>
    <row r="303" spans="1:26">
      <c r="B303" s="52"/>
      <c r="C303" s="52"/>
      <c r="D303" s="52"/>
      <c r="E303" s="52"/>
      <c r="F303" s="52"/>
      <c r="G303" s="52"/>
      <c r="H303" s="52"/>
      <c r="I303" s="52"/>
      <c r="J303" s="52"/>
      <c r="K303" s="52"/>
    </row>
    <row r="304" spans="1:26">
      <c r="B304" s="53" t="s">
        <v>333</v>
      </c>
      <c r="C304" s="53"/>
      <c r="D304" s="53"/>
      <c r="E304" s="53"/>
      <c r="F304" s="53"/>
      <c r="G304" s="53"/>
      <c r="H304" s="53"/>
      <c r="I304" s="53"/>
      <c r="J304" s="53"/>
      <c r="K304" s="53"/>
    </row>
    <row r="305" spans="2:11">
      <c r="B305" s="54"/>
      <c r="C305" s="54"/>
      <c r="D305" s="54"/>
      <c r="E305" s="54"/>
      <c r="F305" s="54"/>
      <c r="G305" s="54"/>
      <c r="H305" s="54"/>
      <c r="I305" s="54"/>
      <c r="J305" s="54"/>
      <c r="K305" s="54"/>
    </row>
    <row r="306" spans="2:11">
      <c r="B306" s="55" t="s">
        <v>334</v>
      </c>
      <c r="C306" s="56" t="s">
        <v>335</v>
      </c>
      <c r="D306" s="57"/>
      <c r="E306" s="58"/>
      <c r="F306" s="57" t="s">
        <v>212</v>
      </c>
      <c r="G306" s="57"/>
      <c r="H306" s="58"/>
      <c r="I306" s="57" t="s">
        <v>213</v>
      </c>
      <c r="J306" s="57"/>
      <c r="K306" s="57"/>
    </row>
    <row r="307" spans="2:11">
      <c r="B307" s="59"/>
      <c r="C307" s="60" t="s">
        <v>336</v>
      </c>
      <c r="D307" s="61" t="s">
        <v>215</v>
      </c>
      <c r="E307" s="61" t="s">
        <v>216</v>
      </c>
      <c r="F307" s="62" t="s">
        <v>336</v>
      </c>
      <c r="G307" s="61" t="s">
        <v>215</v>
      </c>
      <c r="H307" s="61" t="s">
        <v>216</v>
      </c>
      <c r="I307" s="62" t="s">
        <v>336</v>
      </c>
      <c r="J307" s="61" t="s">
        <v>215</v>
      </c>
      <c r="K307" s="63" t="s">
        <v>216</v>
      </c>
    </row>
    <row r="308" spans="2:11">
      <c r="B308" s="64"/>
      <c r="C308" s="65" t="s">
        <v>337</v>
      </c>
      <c r="D308" s="66"/>
      <c r="E308" s="66"/>
      <c r="F308" s="67" t="s">
        <v>337</v>
      </c>
      <c r="G308" s="66"/>
      <c r="H308" s="66"/>
      <c r="I308" s="67" t="s">
        <v>337</v>
      </c>
      <c r="J308" s="66"/>
      <c r="K308" s="68"/>
    </row>
    <row r="309" spans="2:11">
      <c r="B309" s="69"/>
      <c r="C309" s="70"/>
      <c r="D309" s="69"/>
      <c r="E309" s="69"/>
      <c r="F309" s="71"/>
      <c r="G309" s="69"/>
      <c r="H309" s="69"/>
      <c r="I309" s="71"/>
      <c r="J309" s="69"/>
      <c r="K309" s="69"/>
    </row>
    <row r="310" spans="2:11">
      <c r="B310" s="72" t="s">
        <v>338</v>
      </c>
      <c r="C310" s="73">
        <v>11185</v>
      </c>
      <c r="D310" s="73">
        <v>5837</v>
      </c>
      <c r="E310" s="73">
        <v>5348</v>
      </c>
      <c r="F310" s="73">
        <v>8753</v>
      </c>
      <c r="G310" s="73">
        <v>4592</v>
      </c>
      <c r="H310" s="73">
        <v>4161</v>
      </c>
      <c r="I310" s="73">
        <v>2432</v>
      </c>
      <c r="J310" s="73">
        <v>1245</v>
      </c>
      <c r="K310" s="73">
        <v>1187</v>
      </c>
    </row>
    <row r="311" spans="2:11">
      <c r="B311" s="72" t="s">
        <v>220</v>
      </c>
      <c r="C311" s="73">
        <v>12285</v>
      </c>
      <c r="D311" s="73">
        <v>6266</v>
      </c>
      <c r="E311" s="73">
        <v>6019</v>
      </c>
      <c r="F311" s="73">
        <v>9612</v>
      </c>
      <c r="G311" s="73">
        <v>4850</v>
      </c>
      <c r="H311" s="73">
        <v>4762</v>
      </c>
      <c r="I311" s="73">
        <v>2673</v>
      </c>
      <c r="J311" s="73">
        <v>1416</v>
      </c>
      <c r="K311" s="73">
        <v>1257</v>
      </c>
    </row>
    <row r="312" spans="2:11">
      <c r="B312" s="72" t="s">
        <v>221</v>
      </c>
      <c r="C312" s="73">
        <v>13837</v>
      </c>
      <c r="D312" s="73">
        <v>7187</v>
      </c>
      <c r="E312" s="73">
        <v>6650</v>
      </c>
      <c r="F312" s="73">
        <v>10967</v>
      </c>
      <c r="G312" s="73">
        <v>5681</v>
      </c>
      <c r="H312" s="73">
        <v>5286</v>
      </c>
      <c r="I312" s="73">
        <v>2870</v>
      </c>
      <c r="J312" s="73">
        <v>1506</v>
      </c>
      <c r="K312" s="73">
        <v>1364</v>
      </c>
    </row>
    <row r="313" spans="2:11">
      <c r="B313" s="72" t="s">
        <v>339</v>
      </c>
      <c r="C313" s="73">
        <v>37307</v>
      </c>
      <c r="D313" s="73">
        <v>19290</v>
      </c>
      <c r="E313" s="73">
        <v>18017</v>
      </c>
      <c r="F313" s="73">
        <v>29332</v>
      </c>
      <c r="G313" s="73">
        <v>15123</v>
      </c>
      <c r="H313" s="73">
        <v>14209</v>
      </c>
      <c r="I313" s="73">
        <v>7975</v>
      </c>
      <c r="J313" s="73">
        <v>4167</v>
      </c>
      <c r="K313" s="73">
        <v>3808</v>
      </c>
    </row>
    <row r="314" spans="2:11">
      <c r="B314" s="72" t="s">
        <v>222</v>
      </c>
      <c r="C314" s="73">
        <v>14282</v>
      </c>
      <c r="D314" s="73">
        <v>7428</v>
      </c>
      <c r="E314" s="73">
        <v>6854</v>
      </c>
      <c r="F314" s="73">
        <v>11428</v>
      </c>
      <c r="G314" s="73">
        <v>5980</v>
      </c>
      <c r="H314" s="73">
        <v>5448</v>
      </c>
      <c r="I314" s="73">
        <v>2854</v>
      </c>
      <c r="J314" s="73">
        <v>1448</v>
      </c>
      <c r="K314" s="73">
        <v>1406</v>
      </c>
    </row>
    <row r="315" spans="2:11">
      <c r="B315" s="72" t="s">
        <v>223</v>
      </c>
      <c r="C315" s="73">
        <v>14589</v>
      </c>
      <c r="D315" s="73">
        <v>7608</v>
      </c>
      <c r="E315" s="73">
        <v>6981</v>
      </c>
      <c r="F315" s="73">
        <v>10957</v>
      </c>
      <c r="G315" s="73">
        <v>5720</v>
      </c>
      <c r="H315" s="73">
        <v>5237</v>
      </c>
      <c r="I315" s="73">
        <v>3632</v>
      </c>
      <c r="J315" s="73">
        <v>1888</v>
      </c>
      <c r="K315" s="73">
        <v>1744</v>
      </c>
    </row>
    <row r="316" spans="2:11">
      <c r="B316" s="74" t="s">
        <v>340</v>
      </c>
      <c r="C316" s="75">
        <v>66178</v>
      </c>
      <c r="D316" s="75">
        <v>34326</v>
      </c>
      <c r="E316" s="75">
        <v>31852</v>
      </c>
      <c r="F316" s="75">
        <v>51717</v>
      </c>
      <c r="G316" s="75">
        <v>26823</v>
      </c>
      <c r="H316" s="75">
        <v>24894</v>
      </c>
      <c r="I316" s="75">
        <v>14461</v>
      </c>
      <c r="J316" s="75">
        <v>7503</v>
      </c>
      <c r="K316" s="75">
        <v>6958</v>
      </c>
    </row>
    <row r="317" spans="2:11">
      <c r="B317" s="72" t="s">
        <v>224</v>
      </c>
      <c r="C317" s="73">
        <v>14750</v>
      </c>
      <c r="D317" s="73">
        <v>7572</v>
      </c>
      <c r="E317" s="73">
        <v>7178</v>
      </c>
      <c r="F317" s="73">
        <v>11254</v>
      </c>
      <c r="G317" s="73">
        <v>5769</v>
      </c>
      <c r="H317" s="73">
        <v>5485</v>
      </c>
      <c r="I317" s="73">
        <v>3496</v>
      </c>
      <c r="J317" s="73">
        <v>1803</v>
      </c>
      <c r="K317" s="73">
        <v>1693</v>
      </c>
    </row>
    <row r="318" spans="2:11">
      <c r="B318" s="72" t="s">
        <v>341</v>
      </c>
      <c r="C318" s="73">
        <v>43621</v>
      </c>
      <c r="D318" s="73">
        <v>22608</v>
      </c>
      <c r="E318" s="73">
        <v>21013</v>
      </c>
      <c r="F318" s="73">
        <v>33639</v>
      </c>
      <c r="G318" s="73">
        <v>17469</v>
      </c>
      <c r="H318" s="73">
        <v>16170</v>
      </c>
      <c r="I318" s="73">
        <v>9982</v>
      </c>
      <c r="J318" s="73">
        <v>5139</v>
      </c>
      <c r="K318" s="73">
        <v>4843</v>
      </c>
    </row>
    <row r="319" spans="2:11">
      <c r="B319" s="72" t="s">
        <v>225</v>
      </c>
      <c r="C319" s="73">
        <v>14837</v>
      </c>
      <c r="D319" s="73">
        <v>7666</v>
      </c>
      <c r="E319" s="73">
        <v>7171</v>
      </c>
      <c r="F319" s="73">
        <v>11171</v>
      </c>
      <c r="G319" s="73">
        <v>5795</v>
      </c>
      <c r="H319" s="73">
        <v>5376</v>
      </c>
      <c r="I319" s="73">
        <v>3666</v>
      </c>
      <c r="J319" s="73">
        <v>1871</v>
      </c>
      <c r="K319" s="73">
        <v>1795</v>
      </c>
    </row>
    <row r="320" spans="2:11">
      <c r="B320" s="72" t="s">
        <v>342</v>
      </c>
      <c r="C320" s="73">
        <v>84580</v>
      </c>
      <c r="D320" s="73">
        <v>43727</v>
      </c>
      <c r="E320" s="73">
        <v>40853</v>
      </c>
      <c r="F320" s="73">
        <v>65389</v>
      </c>
      <c r="G320" s="73">
        <v>33795</v>
      </c>
      <c r="H320" s="73">
        <v>31594</v>
      </c>
      <c r="I320" s="73">
        <v>19191</v>
      </c>
      <c r="J320" s="73">
        <v>9932</v>
      </c>
      <c r="K320" s="73">
        <v>9259</v>
      </c>
    </row>
    <row r="321" spans="2:11">
      <c r="B321" s="72" t="s">
        <v>226</v>
      </c>
      <c r="C321" s="73">
        <v>14276</v>
      </c>
      <c r="D321" s="73">
        <v>7341</v>
      </c>
      <c r="E321" s="73">
        <v>6935</v>
      </c>
      <c r="F321" s="73">
        <v>10792</v>
      </c>
      <c r="G321" s="73">
        <v>5568</v>
      </c>
      <c r="H321" s="73">
        <v>5224</v>
      </c>
      <c r="I321" s="73">
        <v>3484</v>
      </c>
      <c r="J321" s="73">
        <v>1773</v>
      </c>
      <c r="K321" s="73">
        <v>1711</v>
      </c>
    </row>
    <row r="322" spans="2:11">
      <c r="B322" s="72" t="s">
        <v>227</v>
      </c>
      <c r="C322" s="73">
        <v>14317</v>
      </c>
      <c r="D322" s="73">
        <v>7345</v>
      </c>
      <c r="E322" s="73">
        <v>6972</v>
      </c>
      <c r="F322" s="73">
        <v>11579</v>
      </c>
      <c r="G322" s="73">
        <v>5932</v>
      </c>
      <c r="H322" s="73">
        <v>5647</v>
      </c>
      <c r="I322" s="73">
        <v>2738</v>
      </c>
      <c r="J322" s="73">
        <v>1413</v>
      </c>
      <c r="K322" s="73">
        <v>1325</v>
      </c>
    </row>
    <row r="323" spans="2:11">
      <c r="B323" s="72" t="s">
        <v>228</v>
      </c>
      <c r="C323" s="73">
        <v>14252</v>
      </c>
      <c r="D323" s="73">
        <v>7292</v>
      </c>
      <c r="E323" s="73">
        <v>6960</v>
      </c>
      <c r="F323" s="73">
        <v>11336</v>
      </c>
      <c r="G323" s="73">
        <v>5827</v>
      </c>
      <c r="H323" s="73">
        <v>5509</v>
      </c>
      <c r="I323" s="73">
        <v>2916</v>
      </c>
      <c r="J323" s="73">
        <v>1465</v>
      </c>
      <c r="K323" s="73">
        <v>1451</v>
      </c>
    </row>
    <row r="324" spans="2:11">
      <c r="B324" s="74" t="s">
        <v>168</v>
      </c>
      <c r="C324" s="75">
        <v>72432</v>
      </c>
      <c r="D324" s="75">
        <v>37216</v>
      </c>
      <c r="E324" s="75">
        <v>35216</v>
      </c>
      <c r="F324" s="75">
        <v>56132</v>
      </c>
      <c r="G324" s="75">
        <v>28891</v>
      </c>
      <c r="H324" s="75">
        <v>27241</v>
      </c>
      <c r="I324" s="75">
        <v>16300</v>
      </c>
      <c r="J324" s="75">
        <v>8325</v>
      </c>
      <c r="K324" s="75">
        <v>7975</v>
      </c>
    </row>
    <row r="325" spans="2:11">
      <c r="B325" s="72" t="s">
        <v>229</v>
      </c>
      <c r="C325" s="73">
        <v>13960</v>
      </c>
      <c r="D325" s="73">
        <v>7048</v>
      </c>
      <c r="E325" s="73">
        <v>6912</v>
      </c>
      <c r="F325" s="73">
        <v>11046</v>
      </c>
      <c r="G325" s="73">
        <v>5525</v>
      </c>
      <c r="H325" s="73">
        <v>5521</v>
      </c>
      <c r="I325" s="73">
        <v>2914</v>
      </c>
      <c r="J325" s="73">
        <v>1523</v>
      </c>
      <c r="K325" s="73">
        <v>1391</v>
      </c>
    </row>
    <row r="326" spans="2:11">
      <c r="B326" s="72" t="s">
        <v>230</v>
      </c>
      <c r="C326" s="73">
        <v>13827</v>
      </c>
      <c r="D326" s="73">
        <v>7188</v>
      </c>
      <c r="E326" s="73">
        <v>6639</v>
      </c>
      <c r="F326" s="73">
        <v>10935</v>
      </c>
      <c r="G326" s="73">
        <v>5726</v>
      </c>
      <c r="H326" s="73">
        <v>5209</v>
      </c>
      <c r="I326" s="73">
        <v>2892</v>
      </c>
      <c r="J326" s="73">
        <v>1462</v>
      </c>
      <c r="K326" s="73">
        <v>1430</v>
      </c>
    </row>
    <row r="327" spans="2:11">
      <c r="B327" s="72" t="s">
        <v>231</v>
      </c>
      <c r="C327" s="73">
        <v>12539</v>
      </c>
      <c r="D327" s="73">
        <v>6492</v>
      </c>
      <c r="E327" s="73">
        <v>6047</v>
      </c>
      <c r="F327" s="73">
        <v>9935</v>
      </c>
      <c r="G327" s="73">
        <v>5118</v>
      </c>
      <c r="H327" s="73">
        <v>4817</v>
      </c>
      <c r="I327" s="73">
        <v>2604</v>
      </c>
      <c r="J327" s="73">
        <v>1374</v>
      </c>
      <c r="K327" s="73">
        <v>1230</v>
      </c>
    </row>
    <row r="328" spans="2:11">
      <c r="B328" s="72" t="s">
        <v>232</v>
      </c>
      <c r="C328" s="73">
        <v>12481</v>
      </c>
      <c r="D328" s="73">
        <v>6434</v>
      </c>
      <c r="E328" s="73">
        <v>6047</v>
      </c>
      <c r="F328" s="73">
        <v>9810</v>
      </c>
      <c r="G328" s="73">
        <v>5056</v>
      </c>
      <c r="H328" s="73">
        <v>4754</v>
      </c>
      <c r="I328" s="73">
        <v>2671</v>
      </c>
      <c r="J328" s="73">
        <v>1378</v>
      </c>
      <c r="K328" s="73">
        <v>1293</v>
      </c>
    </row>
    <row r="329" spans="2:11">
      <c r="B329" s="72" t="s">
        <v>343</v>
      </c>
      <c r="C329" s="73">
        <v>81376</v>
      </c>
      <c r="D329" s="73">
        <v>41799</v>
      </c>
      <c r="E329" s="73">
        <v>39577</v>
      </c>
      <c r="F329" s="73">
        <v>64641</v>
      </c>
      <c r="G329" s="73">
        <v>33184</v>
      </c>
      <c r="H329" s="73">
        <v>31457</v>
      </c>
      <c r="I329" s="73">
        <v>16735</v>
      </c>
      <c r="J329" s="73">
        <v>8615</v>
      </c>
      <c r="K329" s="73">
        <v>8120</v>
      </c>
    </row>
    <row r="330" spans="2:11">
      <c r="B330" s="72" t="s">
        <v>344</v>
      </c>
      <c r="C330" s="73">
        <v>191417</v>
      </c>
      <c r="D330" s="73">
        <v>98704</v>
      </c>
      <c r="E330" s="73">
        <v>92713</v>
      </c>
      <c r="F330" s="73">
        <v>149575</v>
      </c>
      <c r="G330" s="73">
        <v>77139</v>
      </c>
      <c r="H330" s="73">
        <v>72436</v>
      </c>
      <c r="I330" s="73">
        <v>41842</v>
      </c>
      <c r="J330" s="73">
        <v>21565</v>
      </c>
      <c r="K330" s="73">
        <v>20277</v>
      </c>
    </row>
    <row r="331" spans="2:11">
      <c r="B331" s="72" t="s">
        <v>233</v>
      </c>
      <c r="C331" s="73">
        <v>12834</v>
      </c>
      <c r="D331" s="73">
        <v>6540</v>
      </c>
      <c r="E331" s="73">
        <v>6294</v>
      </c>
      <c r="F331" s="73">
        <v>10113</v>
      </c>
      <c r="G331" s="73">
        <v>5161</v>
      </c>
      <c r="H331" s="73">
        <v>4952</v>
      </c>
      <c r="I331" s="73">
        <v>2721</v>
      </c>
      <c r="J331" s="73">
        <v>1379</v>
      </c>
      <c r="K331" s="73">
        <v>1342</v>
      </c>
    </row>
    <row r="332" spans="2:11">
      <c r="B332" s="74" t="s">
        <v>345</v>
      </c>
      <c r="C332" s="75">
        <v>65641</v>
      </c>
      <c r="D332" s="75">
        <v>33702</v>
      </c>
      <c r="E332" s="75">
        <v>31939</v>
      </c>
      <c r="F332" s="75">
        <v>51839</v>
      </c>
      <c r="G332" s="75">
        <v>26586</v>
      </c>
      <c r="H332" s="75">
        <v>25253</v>
      </c>
      <c r="I332" s="75">
        <v>13802</v>
      </c>
      <c r="J332" s="75">
        <v>7116</v>
      </c>
      <c r="K332" s="75">
        <v>6686</v>
      </c>
    </row>
    <row r="333" spans="2:11">
      <c r="B333" s="72" t="s">
        <v>346</v>
      </c>
      <c r="C333" s="73">
        <v>204251</v>
      </c>
      <c r="D333" s="73">
        <v>105244</v>
      </c>
      <c r="E333" s="73">
        <v>99007</v>
      </c>
      <c r="F333" s="73">
        <v>159688</v>
      </c>
      <c r="G333" s="73">
        <v>82300</v>
      </c>
      <c r="H333" s="73">
        <v>77388</v>
      </c>
      <c r="I333" s="73">
        <v>44563</v>
      </c>
      <c r="J333" s="73">
        <v>22944</v>
      </c>
      <c r="K333" s="73">
        <v>21619</v>
      </c>
    </row>
    <row r="334" spans="2:11">
      <c r="B334" s="72" t="s">
        <v>234</v>
      </c>
      <c r="C334" s="73">
        <v>12686</v>
      </c>
      <c r="D334" s="73">
        <v>6461</v>
      </c>
      <c r="E334" s="73">
        <v>6225</v>
      </c>
      <c r="F334" s="73">
        <v>9904</v>
      </c>
      <c r="G334" s="73">
        <v>5047</v>
      </c>
      <c r="H334" s="73">
        <v>4857</v>
      </c>
      <c r="I334" s="73">
        <v>2782</v>
      </c>
      <c r="J334" s="73">
        <v>1414</v>
      </c>
      <c r="K334" s="73">
        <v>1368</v>
      </c>
    </row>
    <row r="335" spans="2:11">
      <c r="B335" s="72" t="s">
        <v>347</v>
      </c>
      <c r="C335" s="73">
        <v>25520</v>
      </c>
      <c r="D335" s="73">
        <v>13001</v>
      </c>
      <c r="E335" s="73">
        <v>12519</v>
      </c>
      <c r="F335" s="73">
        <v>20017</v>
      </c>
      <c r="G335" s="73">
        <v>10208</v>
      </c>
      <c r="H335" s="73">
        <v>9809</v>
      </c>
      <c r="I335" s="73">
        <v>5503</v>
      </c>
      <c r="J335" s="73">
        <v>2793</v>
      </c>
      <c r="K335" s="73">
        <v>2710</v>
      </c>
    </row>
    <row r="336" spans="2:11">
      <c r="B336" s="72" t="s">
        <v>235</v>
      </c>
      <c r="C336" s="73">
        <v>12102</v>
      </c>
      <c r="D336" s="73">
        <v>6192</v>
      </c>
      <c r="E336" s="73">
        <v>5910</v>
      </c>
      <c r="F336" s="73">
        <v>9928</v>
      </c>
      <c r="G336" s="73">
        <v>5115</v>
      </c>
      <c r="H336" s="73">
        <v>4813</v>
      </c>
      <c r="I336" s="73">
        <v>2174</v>
      </c>
      <c r="J336" s="73">
        <v>1077</v>
      </c>
      <c r="K336" s="73">
        <v>1097</v>
      </c>
    </row>
    <row r="337" spans="2:11">
      <c r="B337" s="72" t="s">
        <v>236</v>
      </c>
      <c r="C337" s="73">
        <v>11331</v>
      </c>
      <c r="D337" s="73">
        <v>5942</v>
      </c>
      <c r="E337" s="73">
        <v>5389</v>
      </c>
      <c r="F337" s="73">
        <v>9466</v>
      </c>
      <c r="G337" s="73">
        <v>4970</v>
      </c>
      <c r="H337" s="73">
        <v>4496</v>
      </c>
      <c r="I337" s="73">
        <v>1865</v>
      </c>
      <c r="J337" s="73">
        <v>972</v>
      </c>
      <c r="K337" s="73">
        <v>893</v>
      </c>
    </row>
    <row r="338" spans="2:11">
      <c r="B338" s="72" t="s">
        <v>348</v>
      </c>
      <c r="C338" s="73">
        <v>23433</v>
      </c>
      <c r="D338" s="73">
        <v>12134</v>
      </c>
      <c r="E338" s="73">
        <v>11299</v>
      </c>
      <c r="F338" s="73">
        <v>19394</v>
      </c>
      <c r="G338" s="73">
        <v>10085</v>
      </c>
      <c r="H338" s="73">
        <v>9309</v>
      </c>
      <c r="I338" s="73">
        <v>4039</v>
      </c>
      <c r="J338" s="73">
        <v>2049</v>
      </c>
      <c r="K338" s="73">
        <v>1990</v>
      </c>
    </row>
    <row r="339" spans="2:11">
      <c r="B339" s="72" t="s">
        <v>349</v>
      </c>
      <c r="C339" s="73">
        <v>240370</v>
      </c>
      <c r="D339" s="73">
        <v>123839</v>
      </c>
      <c r="E339" s="73">
        <v>116531</v>
      </c>
      <c r="F339" s="73">
        <v>188986</v>
      </c>
      <c r="G339" s="73">
        <v>97432</v>
      </c>
      <c r="H339" s="73">
        <v>91554</v>
      </c>
      <c r="I339" s="73">
        <v>51384</v>
      </c>
      <c r="J339" s="73">
        <v>26407</v>
      </c>
      <c r="K339" s="73">
        <v>24977</v>
      </c>
    </row>
    <row r="340" spans="2:11">
      <c r="B340" s="72" t="s">
        <v>237</v>
      </c>
      <c r="C340" s="73">
        <v>10065</v>
      </c>
      <c r="D340" s="73">
        <v>5340</v>
      </c>
      <c r="E340" s="73">
        <v>4725</v>
      </c>
      <c r="F340" s="73">
        <v>8844</v>
      </c>
      <c r="G340" s="73">
        <v>4653</v>
      </c>
      <c r="H340" s="73">
        <v>4191</v>
      </c>
      <c r="I340" s="73">
        <v>1221</v>
      </c>
      <c r="J340" s="73">
        <v>687</v>
      </c>
      <c r="K340" s="73">
        <v>534</v>
      </c>
    </row>
    <row r="341" spans="2:11">
      <c r="B341" s="72" t="s">
        <v>238</v>
      </c>
      <c r="C341" s="73">
        <v>9918</v>
      </c>
      <c r="D341" s="73">
        <v>5488</v>
      </c>
      <c r="E341" s="73">
        <v>4430</v>
      </c>
      <c r="F341" s="73">
        <v>8650</v>
      </c>
      <c r="G341" s="73">
        <v>4710</v>
      </c>
      <c r="H341" s="73">
        <v>3940</v>
      </c>
      <c r="I341" s="73">
        <v>1268</v>
      </c>
      <c r="J341" s="73">
        <v>778</v>
      </c>
      <c r="K341" s="73">
        <v>490</v>
      </c>
    </row>
    <row r="342" spans="2:11">
      <c r="B342" s="74" t="s">
        <v>350</v>
      </c>
      <c r="C342" s="75">
        <v>56102</v>
      </c>
      <c r="D342" s="75">
        <v>29423</v>
      </c>
      <c r="E342" s="75">
        <v>26679</v>
      </c>
      <c r="F342" s="75">
        <v>46792</v>
      </c>
      <c r="G342" s="75">
        <v>24495</v>
      </c>
      <c r="H342" s="75">
        <v>22297</v>
      </c>
      <c r="I342" s="75">
        <v>9310</v>
      </c>
      <c r="J342" s="75">
        <v>4928</v>
      </c>
      <c r="K342" s="75">
        <v>4382</v>
      </c>
    </row>
    <row r="343" spans="2:11">
      <c r="B343" s="72" t="s">
        <v>239</v>
      </c>
      <c r="C343" s="73">
        <v>10674</v>
      </c>
      <c r="D343" s="73">
        <v>5833</v>
      </c>
      <c r="E343" s="73">
        <v>4841</v>
      </c>
      <c r="F343" s="73">
        <v>8852</v>
      </c>
      <c r="G343" s="73">
        <v>4775</v>
      </c>
      <c r="H343" s="73">
        <v>4077</v>
      </c>
      <c r="I343" s="73">
        <v>1822</v>
      </c>
      <c r="J343" s="73">
        <v>1058</v>
      </c>
      <c r="K343" s="73">
        <v>764</v>
      </c>
    </row>
    <row r="344" spans="2:11">
      <c r="B344" s="72" t="s">
        <v>240</v>
      </c>
      <c r="C344" s="73">
        <v>10104</v>
      </c>
      <c r="D344" s="73">
        <v>5548</v>
      </c>
      <c r="E344" s="73">
        <v>4556</v>
      </c>
      <c r="F344" s="73">
        <v>8104</v>
      </c>
      <c r="G344" s="73">
        <v>4443</v>
      </c>
      <c r="H344" s="73">
        <v>3661</v>
      </c>
      <c r="I344" s="73">
        <v>2000</v>
      </c>
      <c r="J344" s="73">
        <v>1105</v>
      </c>
      <c r="K344" s="73">
        <v>895</v>
      </c>
    </row>
    <row r="345" spans="2:11">
      <c r="B345" s="72" t="s">
        <v>241</v>
      </c>
      <c r="C345" s="73">
        <v>10642</v>
      </c>
      <c r="D345" s="73">
        <v>5661</v>
      </c>
      <c r="E345" s="73">
        <v>4981</v>
      </c>
      <c r="F345" s="73">
        <v>8743</v>
      </c>
      <c r="G345" s="73">
        <v>4663</v>
      </c>
      <c r="H345" s="73">
        <v>4080</v>
      </c>
      <c r="I345" s="73">
        <v>1899</v>
      </c>
      <c r="J345" s="73">
        <v>998</v>
      </c>
      <c r="K345" s="73">
        <v>901</v>
      </c>
    </row>
    <row r="346" spans="2:11">
      <c r="B346" s="72" t="s">
        <v>242</v>
      </c>
      <c r="C346" s="73">
        <v>11118</v>
      </c>
      <c r="D346" s="73">
        <v>5816</v>
      </c>
      <c r="E346" s="73">
        <v>5302</v>
      </c>
      <c r="F346" s="73">
        <v>9167</v>
      </c>
      <c r="G346" s="73">
        <v>4865</v>
      </c>
      <c r="H346" s="73">
        <v>4302</v>
      </c>
      <c r="I346" s="73">
        <v>1951</v>
      </c>
      <c r="J346" s="73">
        <v>951</v>
      </c>
      <c r="K346" s="73">
        <v>1000</v>
      </c>
    </row>
    <row r="347" spans="2:11">
      <c r="B347" s="72" t="s">
        <v>243</v>
      </c>
      <c r="C347" s="73">
        <v>11321</v>
      </c>
      <c r="D347" s="73">
        <v>5907</v>
      </c>
      <c r="E347" s="73">
        <v>5414</v>
      </c>
      <c r="F347" s="73">
        <v>9902</v>
      </c>
      <c r="G347" s="73">
        <v>5090</v>
      </c>
      <c r="H347" s="73">
        <v>4812</v>
      </c>
      <c r="I347" s="73">
        <v>1419</v>
      </c>
      <c r="J347" s="73">
        <v>817</v>
      </c>
      <c r="K347" s="73">
        <v>602</v>
      </c>
    </row>
    <row r="348" spans="2:11">
      <c r="B348" s="74" t="s">
        <v>351</v>
      </c>
      <c r="C348" s="75">
        <v>53859</v>
      </c>
      <c r="D348" s="75">
        <v>28765</v>
      </c>
      <c r="E348" s="75">
        <v>25094</v>
      </c>
      <c r="F348" s="75">
        <v>44768</v>
      </c>
      <c r="G348" s="75">
        <v>23836</v>
      </c>
      <c r="H348" s="75">
        <v>20932</v>
      </c>
      <c r="I348" s="75">
        <v>9091</v>
      </c>
      <c r="J348" s="75">
        <v>4929</v>
      </c>
      <c r="K348" s="75">
        <v>4162</v>
      </c>
    </row>
    <row r="349" spans="2:11">
      <c r="B349" s="72" t="s">
        <v>244</v>
      </c>
      <c r="C349" s="73">
        <v>11023</v>
      </c>
      <c r="D349" s="73">
        <v>5881</v>
      </c>
      <c r="E349" s="73">
        <v>5142</v>
      </c>
      <c r="F349" s="73">
        <v>9841</v>
      </c>
      <c r="G349" s="73">
        <v>5057</v>
      </c>
      <c r="H349" s="73">
        <v>4784</v>
      </c>
      <c r="I349" s="73">
        <v>1182</v>
      </c>
      <c r="J349" s="73">
        <v>824</v>
      </c>
      <c r="K349" s="73">
        <v>358</v>
      </c>
    </row>
    <row r="350" spans="2:11">
      <c r="B350" s="72" t="s">
        <v>245</v>
      </c>
      <c r="C350" s="73">
        <v>11600</v>
      </c>
      <c r="D350" s="73">
        <v>6058</v>
      </c>
      <c r="E350" s="73">
        <v>5542</v>
      </c>
      <c r="F350" s="73">
        <v>10769</v>
      </c>
      <c r="G350" s="73">
        <v>5351</v>
      </c>
      <c r="H350" s="73">
        <v>5418</v>
      </c>
      <c r="I350" s="73">
        <v>831</v>
      </c>
      <c r="J350" s="73">
        <v>707</v>
      </c>
      <c r="K350" s="73">
        <v>124</v>
      </c>
    </row>
    <row r="351" spans="2:11">
      <c r="B351" s="72" t="s">
        <v>246</v>
      </c>
      <c r="C351" s="73">
        <v>12363</v>
      </c>
      <c r="D351" s="73">
        <v>6464</v>
      </c>
      <c r="E351" s="73">
        <v>5899</v>
      </c>
      <c r="F351" s="73">
        <v>11386</v>
      </c>
      <c r="G351" s="73">
        <v>5570</v>
      </c>
      <c r="H351" s="73">
        <v>5816</v>
      </c>
      <c r="I351" s="73">
        <v>977</v>
      </c>
      <c r="J351" s="73">
        <v>894</v>
      </c>
      <c r="K351" s="73">
        <v>83</v>
      </c>
    </row>
    <row r="352" spans="2:11">
      <c r="B352" s="72" t="s">
        <v>247</v>
      </c>
      <c r="C352" s="73">
        <v>14025</v>
      </c>
      <c r="D352" s="73">
        <v>7279</v>
      </c>
      <c r="E352" s="73">
        <v>6746</v>
      </c>
      <c r="F352" s="73">
        <v>12358</v>
      </c>
      <c r="G352" s="73">
        <v>5930</v>
      </c>
      <c r="H352" s="73">
        <v>6428</v>
      </c>
      <c r="I352" s="73">
        <v>1667</v>
      </c>
      <c r="J352" s="73">
        <v>1349</v>
      </c>
      <c r="K352" s="73">
        <v>318</v>
      </c>
    </row>
    <row r="353" spans="2:11">
      <c r="B353" s="72" t="s">
        <v>248</v>
      </c>
      <c r="C353" s="73">
        <v>15527</v>
      </c>
      <c r="D353" s="73">
        <v>8291</v>
      </c>
      <c r="E353" s="73">
        <v>7236</v>
      </c>
      <c r="F353" s="73">
        <v>13417</v>
      </c>
      <c r="G353" s="73">
        <v>6707</v>
      </c>
      <c r="H353" s="73">
        <v>6710</v>
      </c>
      <c r="I353" s="73">
        <v>2110</v>
      </c>
      <c r="J353" s="73">
        <v>1584</v>
      </c>
      <c r="K353" s="73">
        <v>526</v>
      </c>
    </row>
    <row r="354" spans="2:11">
      <c r="B354" s="74" t="s">
        <v>352</v>
      </c>
      <c r="C354" s="75">
        <v>64538</v>
      </c>
      <c r="D354" s="75">
        <v>33973</v>
      </c>
      <c r="E354" s="75">
        <v>30565</v>
      </c>
      <c r="F354" s="75">
        <v>57771</v>
      </c>
      <c r="G354" s="75">
        <v>28615</v>
      </c>
      <c r="H354" s="75">
        <v>29156</v>
      </c>
      <c r="I354" s="75">
        <v>6767</v>
      </c>
      <c r="J354" s="75">
        <v>5358</v>
      </c>
      <c r="K354" s="75">
        <v>1409</v>
      </c>
    </row>
    <row r="355" spans="2:11">
      <c r="B355" s="72" t="s">
        <v>353</v>
      </c>
      <c r="C355" s="73">
        <v>118397</v>
      </c>
      <c r="D355" s="73">
        <v>62738</v>
      </c>
      <c r="E355" s="73">
        <v>55659</v>
      </c>
      <c r="F355" s="73">
        <v>102539</v>
      </c>
      <c r="G355" s="73">
        <v>52451</v>
      </c>
      <c r="H355" s="73">
        <v>50088</v>
      </c>
      <c r="I355" s="73">
        <v>15858</v>
      </c>
      <c r="J355" s="73">
        <v>10287</v>
      </c>
      <c r="K355" s="73">
        <v>5571</v>
      </c>
    </row>
    <row r="356" spans="2:11">
      <c r="B356" s="72" t="s">
        <v>354</v>
      </c>
      <c r="C356" s="73">
        <v>161813</v>
      </c>
      <c r="D356" s="73">
        <v>85700</v>
      </c>
      <c r="E356" s="73">
        <v>76113</v>
      </c>
      <c r="F356" s="73">
        <v>139427</v>
      </c>
      <c r="G356" s="73">
        <v>71899</v>
      </c>
      <c r="H356" s="73">
        <v>67528</v>
      </c>
      <c r="I356" s="73">
        <v>22386</v>
      </c>
      <c r="J356" s="73">
        <v>13801</v>
      </c>
      <c r="K356" s="73">
        <v>8585</v>
      </c>
    </row>
    <row r="357" spans="2:11">
      <c r="B357" s="72" t="s">
        <v>249</v>
      </c>
      <c r="C357" s="73">
        <v>17665</v>
      </c>
      <c r="D357" s="73">
        <v>9314</v>
      </c>
      <c r="E357" s="73">
        <v>8351</v>
      </c>
      <c r="F357" s="73">
        <v>15155</v>
      </c>
      <c r="G357" s="73">
        <v>7482</v>
      </c>
      <c r="H357" s="73">
        <v>7673</v>
      </c>
      <c r="I357" s="73">
        <v>2510</v>
      </c>
      <c r="J357" s="73">
        <v>1832</v>
      </c>
      <c r="K357" s="73">
        <v>678</v>
      </c>
    </row>
    <row r="358" spans="2:11">
      <c r="B358" s="72" t="s">
        <v>250</v>
      </c>
      <c r="C358" s="73">
        <v>18863</v>
      </c>
      <c r="D358" s="73">
        <v>10004</v>
      </c>
      <c r="E358" s="73">
        <v>8859</v>
      </c>
      <c r="F358" s="73">
        <v>15960</v>
      </c>
      <c r="G358" s="73">
        <v>7964</v>
      </c>
      <c r="H358" s="73">
        <v>7996</v>
      </c>
      <c r="I358" s="73">
        <v>2903</v>
      </c>
      <c r="J358" s="73">
        <v>2040</v>
      </c>
      <c r="K358" s="73">
        <v>863</v>
      </c>
    </row>
    <row r="359" spans="2:11">
      <c r="B359" s="72" t="s">
        <v>251</v>
      </c>
      <c r="C359" s="73">
        <v>18520</v>
      </c>
      <c r="D359" s="73">
        <v>9777</v>
      </c>
      <c r="E359" s="73">
        <v>8743</v>
      </c>
      <c r="F359" s="73">
        <v>15886</v>
      </c>
      <c r="G359" s="73">
        <v>7954</v>
      </c>
      <c r="H359" s="73">
        <v>7932</v>
      </c>
      <c r="I359" s="73">
        <v>2634</v>
      </c>
      <c r="J359" s="73">
        <v>1823</v>
      </c>
      <c r="K359" s="73">
        <v>811</v>
      </c>
    </row>
    <row r="360" spans="2:11">
      <c r="B360" s="72" t="s">
        <v>252</v>
      </c>
      <c r="C360" s="73">
        <v>17852</v>
      </c>
      <c r="D360" s="73">
        <v>9524</v>
      </c>
      <c r="E360" s="73">
        <v>8328</v>
      </c>
      <c r="F360" s="73">
        <v>15293</v>
      </c>
      <c r="G360" s="73">
        <v>7850</v>
      </c>
      <c r="H360" s="73">
        <v>7443</v>
      </c>
      <c r="I360" s="73">
        <v>2559</v>
      </c>
      <c r="J360" s="73">
        <v>1674</v>
      </c>
      <c r="K360" s="73">
        <v>885</v>
      </c>
    </row>
    <row r="361" spans="2:11">
      <c r="B361" s="72" t="s">
        <v>253</v>
      </c>
      <c r="C361" s="73">
        <v>18478</v>
      </c>
      <c r="D361" s="73">
        <v>9736</v>
      </c>
      <c r="E361" s="73">
        <v>8742</v>
      </c>
      <c r="F361" s="73">
        <v>15715</v>
      </c>
      <c r="G361" s="73">
        <v>7935</v>
      </c>
      <c r="H361" s="73">
        <v>7780</v>
      </c>
      <c r="I361" s="73">
        <v>2763</v>
      </c>
      <c r="J361" s="73">
        <v>1801</v>
      </c>
      <c r="K361" s="73">
        <v>962</v>
      </c>
    </row>
    <row r="362" spans="2:11">
      <c r="B362" s="74" t="s">
        <v>355</v>
      </c>
      <c r="C362" s="75">
        <v>91378</v>
      </c>
      <c r="D362" s="75">
        <v>48355</v>
      </c>
      <c r="E362" s="75">
        <v>43023</v>
      </c>
      <c r="F362" s="75">
        <v>78009</v>
      </c>
      <c r="G362" s="75">
        <v>39185</v>
      </c>
      <c r="H362" s="75">
        <v>38824</v>
      </c>
      <c r="I362" s="75">
        <v>13369</v>
      </c>
      <c r="J362" s="75">
        <v>9170</v>
      </c>
      <c r="K362" s="75">
        <v>4199</v>
      </c>
    </row>
    <row r="363" spans="2:11">
      <c r="B363" s="72" t="s">
        <v>356</v>
      </c>
      <c r="C363" s="73">
        <v>265877</v>
      </c>
      <c r="D363" s="73">
        <v>140516</v>
      </c>
      <c r="E363" s="73">
        <v>125361</v>
      </c>
      <c r="F363" s="73">
        <v>227340</v>
      </c>
      <c r="G363" s="73">
        <v>116131</v>
      </c>
      <c r="H363" s="73">
        <v>111209</v>
      </c>
      <c r="I363" s="73">
        <v>38537</v>
      </c>
      <c r="J363" s="73">
        <v>24385</v>
      </c>
      <c r="K363" s="73">
        <v>14152</v>
      </c>
    </row>
    <row r="364" spans="2:11">
      <c r="B364" s="72" t="s">
        <v>254</v>
      </c>
      <c r="C364" s="73">
        <v>19271</v>
      </c>
      <c r="D364" s="73">
        <v>10013</v>
      </c>
      <c r="E364" s="73">
        <v>9258</v>
      </c>
      <c r="F364" s="73">
        <v>16266</v>
      </c>
      <c r="G364" s="73">
        <v>8142</v>
      </c>
      <c r="H364" s="73">
        <v>8124</v>
      </c>
      <c r="I364" s="73">
        <v>3005</v>
      </c>
      <c r="J364" s="73">
        <v>1871</v>
      </c>
      <c r="K364" s="73">
        <v>1134</v>
      </c>
    </row>
    <row r="365" spans="2:11">
      <c r="B365" s="72" t="s">
        <v>255</v>
      </c>
      <c r="C365" s="73">
        <v>18961</v>
      </c>
      <c r="D365" s="73">
        <v>9789</v>
      </c>
      <c r="E365" s="73">
        <v>9172</v>
      </c>
      <c r="F365" s="73">
        <v>15898</v>
      </c>
      <c r="G365" s="73">
        <v>7935</v>
      </c>
      <c r="H365" s="73">
        <v>7963</v>
      </c>
      <c r="I365" s="73">
        <v>3063</v>
      </c>
      <c r="J365" s="73">
        <v>1854</v>
      </c>
      <c r="K365" s="73">
        <v>1209</v>
      </c>
    </row>
    <row r="366" spans="2:11">
      <c r="B366" s="72" t="s">
        <v>256</v>
      </c>
      <c r="C366" s="73">
        <v>17851</v>
      </c>
      <c r="D366" s="73">
        <v>9162</v>
      </c>
      <c r="E366" s="73">
        <v>8689</v>
      </c>
      <c r="F366" s="73">
        <v>14800</v>
      </c>
      <c r="G366" s="73">
        <v>7373</v>
      </c>
      <c r="H366" s="73">
        <v>7427</v>
      </c>
      <c r="I366" s="73">
        <v>3051</v>
      </c>
      <c r="J366" s="73">
        <v>1789</v>
      </c>
      <c r="K366" s="73">
        <v>1262</v>
      </c>
    </row>
    <row r="367" spans="2:11">
      <c r="B367" s="72" t="s">
        <v>257</v>
      </c>
      <c r="C367" s="73">
        <v>17992</v>
      </c>
      <c r="D367" s="73">
        <v>9023</v>
      </c>
      <c r="E367" s="73">
        <v>8969</v>
      </c>
      <c r="F367" s="73">
        <v>14815</v>
      </c>
      <c r="G367" s="73">
        <v>7147</v>
      </c>
      <c r="H367" s="73">
        <v>7668</v>
      </c>
      <c r="I367" s="73">
        <v>3177</v>
      </c>
      <c r="J367" s="73">
        <v>1876</v>
      </c>
      <c r="K367" s="73">
        <v>1301</v>
      </c>
    </row>
    <row r="368" spans="2:11">
      <c r="B368" s="72" t="s">
        <v>258</v>
      </c>
      <c r="C368" s="73">
        <v>17682</v>
      </c>
      <c r="D368" s="73">
        <v>9016</v>
      </c>
      <c r="E368" s="73">
        <v>8666</v>
      </c>
      <c r="F368" s="73">
        <v>14392</v>
      </c>
      <c r="G368" s="73">
        <v>7108</v>
      </c>
      <c r="H368" s="73">
        <v>7284</v>
      </c>
      <c r="I368" s="73">
        <v>3290</v>
      </c>
      <c r="J368" s="73">
        <v>1908</v>
      </c>
      <c r="K368" s="73">
        <v>1382</v>
      </c>
    </row>
    <row r="369" spans="2:11">
      <c r="B369" s="74" t="s">
        <v>357</v>
      </c>
      <c r="C369" s="75">
        <v>91757</v>
      </c>
      <c r="D369" s="75">
        <v>47003</v>
      </c>
      <c r="E369" s="75">
        <v>44754</v>
      </c>
      <c r="F369" s="75">
        <v>76171</v>
      </c>
      <c r="G369" s="75">
        <v>37705</v>
      </c>
      <c r="H369" s="75">
        <v>38466</v>
      </c>
      <c r="I369" s="75">
        <v>15586</v>
      </c>
      <c r="J369" s="75">
        <v>9298</v>
      </c>
      <c r="K369" s="75">
        <v>6288</v>
      </c>
    </row>
    <row r="370" spans="2:11">
      <c r="B370" s="72" t="s">
        <v>358</v>
      </c>
      <c r="C370" s="73">
        <v>301532</v>
      </c>
      <c r="D370" s="73">
        <v>158096</v>
      </c>
      <c r="E370" s="73">
        <v>143436</v>
      </c>
      <c r="F370" s="73">
        <v>256719</v>
      </c>
      <c r="G370" s="73">
        <v>129341</v>
      </c>
      <c r="H370" s="73">
        <v>127378</v>
      </c>
      <c r="I370" s="73">
        <v>44813</v>
      </c>
      <c r="J370" s="73">
        <v>28755</v>
      </c>
      <c r="K370" s="73">
        <v>16058</v>
      </c>
    </row>
    <row r="371" spans="2:11">
      <c r="B371" s="72" t="s">
        <v>259</v>
      </c>
      <c r="C371" s="73">
        <v>18063</v>
      </c>
      <c r="D371" s="73">
        <v>9150</v>
      </c>
      <c r="E371" s="73">
        <v>8913</v>
      </c>
      <c r="F371" s="73">
        <v>14739</v>
      </c>
      <c r="G371" s="73">
        <v>7290</v>
      </c>
      <c r="H371" s="73">
        <v>7449</v>
      </c>
      <c r="I371" s="73">
        <v>3324</v>
      </c>
      <c r="J371" s="73">
        <v>1860</v>
      </c>
      <c r="K371" s="73">
        <v>1464</v>
      </c>
    </row>
    <row r="372" spans="2:11">
      <c r="B372" s="72" t="s">
        <v>260</v>
      </c>
      <c r="C372" s="73">
        <v>18037</v>
      </c>
      <c r="D372" s="73">
        <v>9060</v>
      </c>
      <c r="E372" s="73">
        <v>8977</v>
      </c>
      <c r="F372" s="73">
        <v>14582</v>
      </c>
      <c r="G372" s="73">
        <v>7128</v>
      </c>
      <c r="H372" s="73">
        <v>7454</v>
      </c>
      <c r="I372" s="73">
        <v>3455</v>
      </c>
      <c r="J372" s="73">
        <v>1932</v>
      </c>
      <c r="K372" s="73">
        <v>1523</v>
      </c>
    </row>
    <row r="373" spans="2:11">
      <c r="B373" s="72" t="s">
        <v>261</v>
      </c>
      <c r="C373" s="73">
        <v>18064</v>
      </c>
      <c r="D373" s="73">
        <v>8973</v>
      </c>
      <c r="E373" s="73">
        <v>9091</v>
      </c>
      <c r="F373" s="73">
        <v>14556</v>
      </c>
      <c r="G373" s="73">
        <v>7054</v>
      </c>
      <c r="H373" s="73">
        <v>7502</v>
      </c>
      <c r="I373" s="73">
        <v>3508</v>
      </c>
      <c r="J373" s="73">
        <v>1919</v>
      </c>
      <c r="K373" s="73">
        <v>1589</v>
      </c>
    </row>
    <row r="374" spans="2:11">
      <c r="B374" s="72" t="s">
        <v>262</v>
      </c>
      <c r="C374" s="73">
        <v>17315</v>
      </c>
      <c r="D374" s="73">
        <v>8535</v>
      </c>
      <c r="E374" s="73">
        <v>8780</v>
      </c>
      <c r="F374" s="73">
        <v>13763</v>
      </c>
      <c r="G374" s="73">
        <v>6594</v>
      </c>
      <c r="H374" s="73">
        <v>7169</v>
      </c>
      <c r="I374" s="73">
        <v>3552</v>
      </c>
      <c r="J374" s="73">
        <v>1941</v>
      </c>
      <c r="K374" s="73">
        <v>1611</v>
      </c>
    </row>
    <row r="375" spans="2:11">
      <c r="B375" s="72" t="s">
        <v>263</v>
      </c>
      <c r="C375" s="73">
        <v>16602</v>
      </c>
      <c r="D375" s="73">
        <v>8231</v>
      </c>
      <c r="E375" s="73">
        <v>8371</v>
      </c>
      <c r="F375" s="73">
        <v>13121</v>
      </c>
      <c r="G375" s="73">
        <v>6307</v>
      </c>
      <c r="H375" s="73">
        <v>6814</v>
      </c>
      <c r="I375" s="73">
        <v>3481</v>
      </c>
      <c r="J375" s="73">
        <v>1924</v>
      </c>
      <c r="K375" s="73">
        <v>1557</v>
      </c>
    </row>
    <row r="376" spans="2:11">
      <c r="B376" s="74" t="s">
        <v>359</v>
      </c>
      <c r="C376" s="75">
        <v>88081</v>
      </c>
      <c r="D376" s="75">
        <v>43949</v>
      </c>
      <c r="E376" s="75">
        <v>44132</v>
      </c>
      <c r="F376" s="75">
        <v>70761</v>
      </c>
      <c r="G376" s="75">
        <v>34373</v>
      </c>
      <c r="H376" s="75">
        <v>36388</v>
      </c>
      <c r="I376" s="75">
        <v>17320</v>
      </c>
      <c r="J376" s="75">
        <v>9576</v>
      </c>
      <c r="K376" s="75">
        <v>7744</v>
      </c>
    </row>
    <row r="377" spans="2:11">
      <c r="B377" s="72" t="s">
        <v>264</v>
      </c>
      <c r="C377" s="73">
        <v>15889</v>
      </c>
      <c r="D377" s="73">
        <v>7731</v>
      </c>
      <c r="E377" s="73">
        <v>8158</v>
      </c>
      <c r="F377" s="73">
        <v>12499</v>
      </c>
      <c r="G377" s="73">
        <v>6040</v>
      </c>
      <c r="H377" s="73">
        <v>6459</v>
      </c>
      <c r="I377" s="73">
        <v>3390</v>
      </c>
      <c r="J377" s="73">
        <v>1691</v>
      </c>
      <c r="K377" s="73">
        <v>1699</v>
      </c>
    </row>
    <row r="378" spans="2:11">
      <c r="B378" s="72" t="s">
        <v>265</v>
      </c>
      <c r="C378" s="73">
        <v>15936</v>
      </c>
      <c r="D378" s="73">
        <v>7791</v>
      </c>
      <c r="E378" s="73">
        <v>8145</v>
      </c>
      <c r="F378" s="73">
        <v>12520</v>
      </c>
      <c r="G378" s="73">
        <v>5979</v>
      </c>
      <c r="H378" s="73">
        <v>6541</v>
      </c>
      <c r="I378" s="73">
        <v>3416</v>
      </c>
      <c r="J378" s="73">
        <v>1812</v>
      </c>
      <c r="K378" s="73">
        <v>1604</v>
      </c>
    </row>
    <row r="379" spans="2:11">
      <c r="B379" s="72" t="s">
        <v>266</v>
      </c>
      <c r="C379" s="73">
        <v>14767</v>
      </c>
      <c r="D379" s="73">
        <v>7154</v>
      </c>
      <c r="E379" s="73">
        <v>7613</v>
      </c>
      <c r="F379" s="73">
        <v>11586</v>
      </c>
      <c r="G379" s="73">
        <v>5537</v>
      </c>
      <c r="H379" s="73">
        <v>6049</v>
      </c>
      <c r="I379" s="73">
        <v>3181</v>
      </c>
      <c r="J379" s="73">
        <v>1617</v>
      </c>
      <c r="K379" s="73">
        <v>1564</v>
      </c>
    </row>
    <row r="380" spans="2:11">
      <c r="B380" s="72" t="s">
        <v>267</v>
      </c>
      <c r="C380" s="73">
        <v>14384</v>
      </c>
      <c r="D380" s="73">
        <v>6982</v>
      </c>
      <c r="E380" s="73">
        <v>7402</v>
      </c>
      <c r="F380" s="73">
        <v>11011</v>
      </c>
      <c r="G380" s="73">
        <v>5197</v>
      </c>
      <c r="H380" s="73">
        <v>5814</v>
      </c>
      <c r="I380" s="73">
        <v>3373</v>
      </c>
      <c r="J380" s="73">
        <v>1785</v>
      </c>
      <c r="K380" s="73">
        <v>1588</v>
      </c>
    </row>
    <row r="381" spans="2:11">
      <c r="B381" s="72" t="s">
        <v>268</v>
      </c>
      <c r="C381" s="73">
        <v>13695</v>
      </c>
      <c r="D381" s="73">
        <v>6619</v>
      </c>
      <c r="E381" s="73">
        <v>7076</v>
      </c>
      <c r="F381" s="73">
        <v>10401</v>
      </c>
      <c r="G381" s="73">
        <v>4963</v>
      </c>
      <c r="H381" s="73">
        <v>5438</v>
      </c>
      <c r="I381" s="73">
        <v>3294</v>
      </c>
      <c r="J381" s="73">
        <v>1656</v>
      </c>
      <c r="K381" s="73">
        <v>1638</v>
      </c>
    </row>
    <row r="382" spans="2:11">
      <c r="B382" s="74" t="s">
        <v>360</v>
      </c>
      <c r="C382" s="75">
        <v>74671</v>
      </c>
      <c r="D382" s="75">
        <v>36277</v>
      </c>
      <c r="E382" s="75">
        <v>38394</v>
      </c>
      <c r="F382" s="75">
        <v>58017</v>
      </c>
      <c r="G382" s="75">
        <v>27716</v>
      </c>
      <c r="H382" s="75">
        <v>30301</v>
      </c>
      <c r="I382" s="75">
        <v>16654</v>
      </c>
      <c r="J382" s="75">
        <v>8561</v>
      </c>
      <c r="K382" s="75">
        <v>8093</v>
      </c>
    </row>
    <row r="383" spans="2:11">
      <c r="B383" s="72" t="s">
        <v>361</v>
      </c>
      <c r="C383" s="73">
        <v>520386</v>
      </c>
      <c r="D383" s="73">
        <v>267745</v>
      </c>
      <c r="E383" s="73">
        <v>252641</v>
      </c>
      <c r="F383" s="73">
        <v>432289</v>
      </c>
      <c r="G383" s="73">
        <v>215925</v>
      </c>
      <c r="H383" s="73">
        <v>216364</v>
      </c>
      <c r="I383" s="73">
        <v>88097</v>
      </c>
      <c r="J383" s="73">
        <v>51820</v>
      </c>
      <c r="K383" s="73">
        <v>36277</v>
      </c>
    </row>
    <row r="384" spans="2:11">
      <c r="B384" s="72" t="s">
        <v>269</v>
      </c>
      <c r="C384" s="73">
        <v>13411</v>
      </c>
      <c r="D384" s="73">
        <v>6308</v>
      </c>
      <c r="E384" s="73">
        <v>7103</v>
      </c>
      <c r="F384" s="73">
        <v>10129</v>
      </c>
      <c r="G384" s="73">
        <v>4690</v>
      </c>
      <c r="H384" s="73">
        <v>5439</v>
      </c>
      <c r="I384" s="73">
        <v>3282</v>
      </c>
      <c r="J384" s="73">
        <v>1618</v>
      </c>
      <c r="K384" s="73">
        <v>1664</v>
      </c>
    </row>
    <row r="385" spans="2:11">
      <c r="B385" s="72" t="s">
        <v>270</v>
      </c>
      <c r="C385" s="73">
        <v>13821</v>
      </c>
      <c r="D385" s="73">
        <v>6532</v>
      </c>
      <c r="E385" s="73">
        <v>7289</v>
      </c>
      <c r="F385" s="73">
        <v>10111</v>
      </c>
      <c r="G385" s="73">
        <v>4696</v>
      </c>
      <c r="H385" s="73">
        <v>5415</v>
      </c>
      <c r="I385" s="73">
        <v>3710</v>
      </c>
      <c r="J385" s="73">
        <v>1836</v>
      </c>
      <c r="K385" s="73">
        <v>1874</v>
      </c>
    </row>
    <row r="386" spans="2:11">
      <c r="B386" s="72" t="s">
        <v>271</v>
      </c>
      <c r="C386" s="73">
        <v>14430</v>
      </c>
      <c r="D386" s="73">
        <v>6811</v>
      </c>
      <c r="E386" s="73">
        <v>7619</v>
      </c>
      <c r="F386" s="73">
        <v>10535</v>
      </c>
      <c r="G386" s="73">
        <v>4892</v>
      </c>
      <c r="H386" s="73">
        <v>5643</v>
      </c>
      <c r="I386" s="73">
        <v>3895</v>
      </c>
      <c r="J386" s="73">
        <v>1919</v>
      </c>
      <c r="K386" s="73">
        <v>1976</v>
      </c>
    </row>
    <row r="387" spans="2:11">
      <c r="B387" s="72" t="s">
        <v>272</v>
      </c>
      <c r="C387" s="73">
        <v>14697</v>
      </c>
      <c r="D387" s="73">
        <v>6979</v>
      </c>
      <c r="E387" s="73">
        <v>7718</v>
      </c>
      <c r="F387" s="73">
        <v>10710</v>
      </c>
      <c r="G387" s="73">
        <v>4990</v>
      </c>
      <c r="H387" s="73">
        <v>5720</v>
      </c>
      <c r="I387" s="73">
        <v>3987</v>
      </c>
      <c r="J387" s="73">
        <v>1989</v>
      </c>
      <c r="K387" s="73">
        <v>1998</v>
      </c>
    </row>
    <row r="388" spans="2:11">
      <c r="B388" s="72" t="s">
        <v>273</v>
      </c>
      <c r="C388" s="73">
        <v>15305</v>
      </c>
      <c r="D388" s="73">
        <v>7165</v>
      </c>
      <c r="E388" s="73">
        <v>8140</v>
      </c>
      <c r="F388" s="73">
        <v>11087</v>
      </c>
      <c r="G388" s="73">
        <v>5067</v>
      </c>
      <c r="H388" s="73">
        <v>6020</v>
      </c>
      <c r="I388" s="73">
        <v>4218</v>
      </c>
      <c r="J388" s="73">
        <v>2098</v>
      </c>
      <c r="K388" s="73">
        <v>2120</v>
      </c>
    </row>
    <row r="389" spans="2:11">
      <c r="B389" s="74" t="s">
        <v>362</v>
      </c>
      <c r="C389" s="75">
        <v>71664</v>
      </c>
      <c r="D389" s="75">
        <v>33795</v>
      </c>
      <c r="E389" s="75">
        <v>37869</v>
      </c>
      <c r="F389" s="75">
        <v>52572</v>
      </c>
      <c r="G389" s="75">
        <v>24335</v>
      </c>
      <c r="H389" s="75">
        <v>28237</v>
      </c>
      <c r="I389" s="75">
        <v>19092</v>
      </c>
      <c r="J389" s="75">
        <v>9460</v>
      </c>
      <c r="K389" s="75">
        <v>9632</v>
      </c>
    </row>
    <row r="390" spans="2:11">
      <c r="B390" s="72" t="s">
        <v>274</v>
      </c>
      <c r="C390" s="73">
        <v>16151</v>
      </c>
      <c r="D390" s="73">
        <v>7379</v>
      </c>
      <c r="E390" s="73">
        <v>8772</v>
      </c>
      <c r="F390" s="73">
        <v>11512</v>
      </c>
      <c r="G390" s="73">
        <v>5134</v>
      </c>
      <c r="H390" s="73">
        <v>6378</v>
      </c>
      <c r="I390" s="73">
        <v>4639</v>
      </c>
      <c r="J390" s="73">
        <v>2245</v>
      </c>
      <c r="K390" s="73">
        <v>2394</v>
      </c>
    </row>
    <row r="391" spans="2:11">
      <c r="B391" s="72" t="s">
        <v>275</v>
      </c>
      <c r="C391" s="73">
        <v>16330</v>
      </c>
      <c r="D391" s="73">
        <v>7384</v>
      </c>
      <c r="E391" s="73">
        <v>8946</v>
      </c>
      <c r="F391" s="73">
        <v>11627</v>
      </c>
      <c r="G391" s="73">
        <v>5066</v>
      </c>
      <c r="H391" s="73">
        <v>6561</v>
      </c>
      <c r="I391" s="73">
        <v>4703</v>
      </c>
      <c r="J391" s="73">
        <v>2318</v>
      </c>
      <c r="K391" s="73">
        <v>2385</v>
      </c>
    </row>
    <row r="392" spans="2:11">
      <c r="B392" s="72" t="s">
        <v>276</v>
      </c>
      <c r="C392" s="73">
        <v>17804</v>
      </c>
      <c r="D392" s="73">
        <v>8041</v>
      </c>
      <c r="E392" s="73">
        <v>9763</v>
      </c>
      <c r="F392" s="73">
        <v>12720</v>
      </c>
      <c r="G392" s="73">
        <v>5426</v>
      </c>
      <c r="H392" s="73">
        <v>7294</v>
      </c>
      <c r="I392" s="73">
        <v>5084</v>
      </c>
      <c r="J392" s="73">
        <v>2615</v>
      </c>
      <c r="K392" s="73">
        <v>2469</v>
      </c>
    </row>
    <row r="393" spans="2:11">
      <c r="B393" s="72" t="s">
        <v>277</v>
      </c>
      <c r="C393" s="73">
        <v>18288</v>
      </c>
      <c r="D393" s="73">
        <v>8158</v>
      </c>
      <c r="E393" s="73">
        <v>10130</v>
      </c>
      <c r="F393" s="73">
        <v>12815</v>
      </c>
      <c r="G393" s="73">
        <v>5498</v>
      </c>
      <c r="H393" s="73">
        <v>7317</v>
      </c>
      <c r="I393" s="73">
        <v>5473</v>
      </c>
      <c r="J393" s="73">
        <v>2660</v>
      </c>
      <c r="K393" s="73">
        <v>2813</v>
      </c>
    </row>
    <row r="394" spans="2:11">
      <c r="B394" s="72" t="s">
        <v>278</v>
      </c>
      <c r="C394" s="73">
        <v>17739</v>
      </c>
      <c r="D394" s="73">
        <v>7718</v>
      </c>
      <c r="E394" s="73">
        <v>10021</v>
      </c>
      <c r="F394" s="73">
        <v>12439</v>
      </c>
      <c r="G394" s="73">
        <v>5155</v>
      </c>
      <c r="H394" s="73">
        <v>7284</v>
      </c>
      <c r="I394" s="73">
        <v>5300</v>
      </c>
      <c r="J394" s="73">
        <v>2563</v>
      </c>
      <c r="K394" s="73">
        <v>2737</v>
      </c>
    </row>
    <row r="395" spans="2:11">
      <c r="B395" s="74" t="s">
        <v>363</v>
      </c>
      <c r="C395" s="75">
        <v>86312</v>
      </c>
      <c r="D395" s="75">
        <v>38680</v>
      </c>
      <c r="E395" s="75">
        <v>47632</v>
      </c>
      <c r="F395" s="75">
        <v>61113</v>
      </c>
      <c r="G395" s="75">
        <v>26279</v>
      </c>
      <c r="H395" s="75">
        <v>34834</v>
      </c>
      <c r="I395" s="75">
        <v>25199</v>
      </c>
      <c r="J395" s="75">
        <v>12401</v>
      </c>
      <c r="K395" s="75">
        <v>12798</v>
      </c>
    </row>
    <row r="396" spans="2:11">
      <c r="B396" s="72" t="s">
        <v>279</v>
      </c>
      <c r="C396" s="73">
        <v>17480</v>
      </c>
      <c r="D396" s="73">
        <v>7479</v>
      </c>
      <c r="E396" s="73">
        <v>10001</v>
      </c>
      <c r="F396" s="73">
        <v>12280</v>
      </c>
      <c r="G396" s="73">
        <v>4973</v>
      </c>
      <c r="H396" s="73">
        <v>7307</v>
      </c>
      <c r="I396" s="73">
        <v>5200</v>
      </c>
      <c r="J396" s="73">
        <v>2506</v>
      </c>
      <c r="K396" s="73">
        <v>2694</v>
      </c>
    </row>
    <row r="397" spans="2:11">
      <c r="B397" s="72" t="s">
        <v>280</v>
      </c>
      <c r="C397" s="73">
        <v>17436</v>
      </c>
      <c r="D397" s="73">
        <v>7261</v>
      </c>
      <c r="E397" s="73">
        <v>10175</v>
      </c>
      <c r="F397" s="73">
        <v>12307</v>
      </c>
      <c r="G397" s="73">
        <v>4912</v>
      </c>
      <c r="H397" s="73">
        <v>7395</v>
      </c>
      <c r="I397" s="73">
        <v>5129</v>
      </c>
      <c r="J397" s="73">
        <v>2349</v>
      </c>
      <c r="K397" s="73">
        <v>2780</v>
      </c>
    </row>
    <row r="398" spans="2:11">
      <c r="B398" s="72" t="s">
        <v>281</v>
      </c>
      <c r="C398" s="73">
        <v>16745</v>
      </c>
      <c r="D398" s="73">
        <v>6929</v>
      </c>
      <c r="E398" s="73">
        <v>9816</v>
      </c>
      <c r="F398" s="73">
        <v>11860</v>
      </c>
      <c r="G398" s="73">
        <v>4679</v>
      </c>
      <c r="H398" s="73">
        <v>7181</v>
      </c>
      <c r="I398" s="73">
        <v>4885</v>
      </c>
      <c r="J398" s="73">
        <v>2250</v>
      </c>
      <c r="K398" s="73">
        <v>2635</v>
      </c>
    </row>
    <row r="399" spans="2:11">
      <c r="B399" s="72" t="s">
        <v>282</v>
      </c>
      <c r="C399" s="73">
        <v>17496</v>
      </c>
      <c r="D399" s="73">
        <v>7084</v>
      </c>
      <c r="E399" s="73">
        <v>10412</v>
      </c>
      <c r="F399" s="73">
        <v>12355</v>
      </c>
      <c r="G399" s="73">
        <v>4738</v>
      </c>
      <c r="H399" s="73">
        <v>7617</v>
      </c>
      <c r="I399" s="73">
        <v>5141</v>
      </c>
      <c r="J399" s="73">
        <v>2346</v>
      </c>
      <c r="K399" s="73">
        <v>2795</v>
      </c>
    </row>
    <row r="400" spans="2:11">
      <c r="B400" s="72" t="s">
        <v>283</v>
      </c>
      <c r="C400" s="73">
        <v>17288</v>
      </c>
      <c r="D400" s="73">
        <v>6709</v>
      </c>
      <c r="E400" s="73">
        <v>10579</v>
      </c>
      <c r="F400" s="73">
        <v>12388</v>
      </c>
      <c r="G400" s="73">
        <v>4610</v>
      </c>
      <c r="H400" s="73">
        <v>7778</v>
      </c>
      <c r="I400" s="73">
        <v>4900</v>
      </c>
      <c r="J400" s="73">
        <v>2099</v>
      </c>
      <c r="K400" s="73">
        <v>2801</v>
      </c>
    </row>
    <row r="401" spans="2:11">
      <c r="B401" s="74" t="s">
        <v>364</v>
      </c>
      <c r="C401" s="75">
        <v>86445</v>
      </c>
      <c r="D401" s="75">
        <v>35462</v>
      </c>
      <c r="E401" s="75">
        <v>50983</v>
      </c>
      <c r="F401" s="75">
        <v>61190</v>
      </c>
      <c r="G401" s="75">
        <v>23912</v>
      </c>
      <c r="H401" s="75">
        <v>37278</v>
      </c>
      <c r="I401" s="75">
        <v>25255</v>
      </c>
      <c r="J401" s="75">
        <v>11550</v>
      </c>
      <c r="K401" s="75">
        <v>13705</v>
      </c>
    </row>
    <row r="402" spans="2:11">
      <c r="B402" s="72" t="s">
        <v>284</v>
      </c>
      <c r="C402" s="73">
        <v>14908</v>
      </c>
      <c r="D402" s="73">
        <v>5799</v>
      </c>
      <c r="E402" s="73">
        <v>9109</v>
      </c>
      <c r="F402" s="73">
        <v>10675</v>
      </c>
      <c r="G402" s="73">
        <v>3961</v>
      </c>
      <c r="H402" s="73">
        <v>6714</v>
      </c>
      <c r="I402" s="73">
        <v>4233</v>
      </c>
      <c r="J402" s="73">
        <v>1838</v>
      </c>
      <c r="K402" s="73">
        <v>2395</v>
      </c>
    </row>
    <row r="403" spans="2:11">
      <c r="B403" s="72" t="s">
        <v>285</v>
      </c>
      <c r="C403" s="73">
        <v>14748</v>
      </c>
      <c r="D403" s="73">
        <v>5594</v>
      </c>
      <c r="E403" s="73">
        <v>9154</v>
      </c>
      <c r="F403" s="73">
        <v>10738</v>
      </c>
      <c r="G403" s="73">
        <v>3888</v>
      </c>
      <c r="H403" s="73">
        <v>6850</v>
      </c>
      <c r="I403" s="73">
        <v>4010</v>
      </c>
      <c r="J403" s="73">
        <v>1706</v>
      </c>
      <c r="K403" s="73">
        <v>2304</v>
      </c>
    </row>
    <row r="404" spans="2:11">
      <c r="B404" s="72" t="s">
        <v>286</v>
      </c>
      <c r="C404" s="73">
        <v>14202</v>
      </c>
      <c r="D404" s="73">
        <v>5347</v>
      </c>
      <c r="E404" s="73">
        <v>8855</v>
      </c>
      <c r="F404" s="73">
        <v>10489</v>
      </c>
      <c r="G404" s="73">
        <v>3796</v>
      </c>
      <c r="H404" s="73">
        <v>6693</v>
      </c>
      <c r="I404" s="73">
        <v>3713</v>
      </c>
      <c r="J404" s="73">
        <v>1551</v>
      </c>
      <c r="K404" s="73">
        <v>2162</v>
      </c>
    </row>
    <row r="405" spans="2:11">
      <c r="B405" s="72" t="s">
        <v>287</v>
      </c>
      <c r="C405" s="73">
        <v>13099</v>
      </c>
      <c r="D405" s="73">
        <v>4833</v>
      </c>
      <c r="E405" s="73">
        <v>8266</v>
      </c>
      <c r="F405" s="73">
        <v>9617</v>
      </c>
      <c r="G405" s="73">
        <v>3440</v>
      </c>
      <c r="H405" s="73">
        <v>6177</v>
      </c>
      <c r="I405" s="73">
        <v>3482</v>
      </c>
      <c r="J405" s="73">
        <v>1393</v>
      </c>
      <c r="K405" s="73">
        <v>2089</v>
      </c>
    </row>
    <row r="406" spans="2:11">
      <c r="B406" s="72" t="s">
        <v>288</v>
      </c>
      <c r="C406" s="73">
        <v>13565</v>
      </c>
      <c r="D406" s="73">
        <v>4905</v>
      </c>
      <c r="E406" s="73">
        <v>8660</v>
      </c>
      <c r="F406" s="73">
        <v>10041</v>
      </c>
      <c r="G406" s="73">
        <v>3500</v>
      </c>
      <c r="H406" s="73">
        <v>6541</v>
      </c>
      <c r="I406" s="73">
        <v>3524</v>
      </c>
      <c r="J406" s="73">
        <v>1405</v>
      </c>
      <c r="K406" s="73">
        <v>2119</v>
      </c>
    </row>
    <row r="407" spans="2:11">
      <c r="B407" s="74" t="s">
        <v>365</v>
      </c>
      <c r="C407" s="75">
        <v>70522</v>
      </c>
      <c r="D407" s="75">
        <v>26478</v>
      </c>
      <c r="E407" s="75">
        <v>44044</v>
      </c>
      <c r="F407" s="75">
        <v>51560</v>
      </c>
      <c r="G407" s="75">
        <v>18585</v>
      </c>
      <c r="H407" s="75">
        <v>32975</v>
      </c>
      <c r="I407" s="75">
        <v>18962</v>
      </c>
      <c r="J407" s="75">
        <v>7893</v>
      </c>
      <c r="K407" s="75">
        <v>11069</v>
      </c>
    </row>
    <row r="408" spans="2:11">
      <c r="B408" s="72" t="s">
        <v>289</v>
      </c>
      <c r="C408" s="73">
        <v>9484</v>
      </c>
      <c r="D408" s="73">
        <v>3326</v>
      </c>
      <c r="E408" s="73">
        <v>6158</v>
      </c>
      <c r="F408" s="73">
        <v>7134</v>
      </c>
      <c r="G408" s="73">
        <v>2413</v>
      </c>
      <c r="H408" s="73">
        <v>4721</v>
      </c>
      <c r="I408" s="73">
        <v>2350</v>
      </c>
      <c r="J408" s="73">
        <v>913</v>
      </c>
      <c r="K408" s="73">
        <v>1437</v>
      </c>
    </row>
    <row r="409" spans="2:11">
      <c r="B409" s="72" t="s">
        <v>290</v>
      </c>
      <c r="C409" s="73">
        <v>9513</v>
      </c>
      <c r="D409" s="73">
        <v>3261</v>
      </c>
      <c r="E409" s="73">
        <v>6252</v>
      </c>
      <c r="F409" s="73">
        <v>7222</v>
      </c>
      <c r="G409" s="73">
        <v>2384</v>
      </c>
      <c r="H409" s="73">
        <v>4838</v>
      </c>
      <c r="I409" s="73">
        <v>2291</v>
      </c>
      <c r="J409" s="73">
        <v>877</v>
      </c>
      <c r="K409" s="73">
        <v>1414</v>
      </c>
    </row>
    <row r="410" spans="2:11">
      <c r="B410" s="72" t="s">
        <v>291</v>
      </c>
      <c r="C410" s="73">
        <v>8773</v>
      </c>
      <c r="D410" s="73">
        <v>2928</v>
      </c>
      <c r="E410" s="73">
        <v>5845</v>
      </c>
      <c r="F410" s="73">
        <v>6704</v>
      </c>
      <c r="G410" s="73">
        <v>2126</v>
      </c>
      <c r="H410" s="73">
        <v>4578</v>
      </c>
      <c r="I410" s="73">
        <v>2069</v>
      </c>
      <c r="J410" s="73">
        <v>802</v>
      </c>
      <c r="K410" s="73">
        <v>1267</v>
      </c>
    </row>
    <row r="411" spans="2:11">
      <c r="B411" s="72" t="s">
        <v>292</v>
      </c>
      <c r="C411" s="73">
        <v>4947</v>
      </c>
      <c r="D411" s="73">
        <v>1569</v>
      </c>
      <c r="E411" s="73">
        <v>3378</v>
      </c>
      <c r="F411" s="73">
        <v>3860</v>
      </c>
      <c r="G411" s="73">
        <v>1214</v>
      </c>
      <c r="H411" s="73">
        <v>2646</v>
      </c>
      <c r="I411" s="73">
        <v>1087</v>
      </c>
      <c r="J411" s="73">
        <v>355</v>
      </c>
      <c r="K411" s="73">
        <v>732</v>
      </c>
    </row>
    <row r="412" spans="2:11">
      <c r="B412" s="72" t="s">
        <v>293</v>
      </c>
      <c r="C412" s="73">
        <v>3536</v>
      </c>
      <c r="D412" s="73">
        <v>1177</v>
      </c>
      <c r="E412" s="73">
        <v>2359</v>
      </c>
      <c r="F412" s="73">
        <v>2731</v>
      </c>
      <c r="G412" s="73">
        <v>876</v>
      </c>
      <c r="H412" s="73">
        <v>1855</v>
      </c>
      <c r="I412" s="73">
        <v>805</v>
      </c>
      <c r="J412" s="73">
        <v>301</v>
      </c>
      <c r="K412" s="73">
        <v>504</v>
      </c>
    </row>
    <row r="413" spans="2:11">
      <c r="B413" s="74" t="s">
        <v>366</v>
      </c>
      <c r="C413" s="75">
        <v>36253</v>
      </c>
      <c r="D413" s="75">
        <v>12261</v>
      </c>
      <c r="E413" s="75">
        <v>23992</v>
      </c>
      <c r="F413" s="75">
        <v>27651</v>
      </c>
      <c r="G413" s="75">
        <v>9013</v>
      </c>
      <c r="H413" s="75">
        <v>18638</v>
      </c>
      <c r="I413" s="75">
        <v>8602</v>
      </c>
      <c r="J413" s="75">
        <v>3248</v>
      </c>
      <c r="K413" s="75">
        <v>5354</v>
      </c>
    </row>
    <row r="414" spans="2:11">
      <c r="B414" s="72" t="s">
        <v>294</v>
      </c>
      <c r="C414" s="73">
        <v>2918</v>
      </c>
      <c r="D414" s="73">
        <v>905</v>
      </c>
      <c r="E414" s="73">
        <v>2013</v>
      </c>
      <c r="F414" s="73">
        <v>2197</v>
      </c>
      <c r="G414" s="73">
        <v>674</v>
      </c>
      <c r="H414" s="73">
        <v>1523</v>
      </c>
      <c r="I414" s="73">
        <v>721</v>
      </c>
      <c r="J414" s="73">
        <v>231</v>
      </c>
      <c r="K414" s="73">
        <v>490</v>
      </c>
    </row>
    <row r="415" spans="2:11">
      <c r="B415" s="72" t="s">
        <v>295</v>
      </c>
      <c r="C415" s="73">
        <v>4441</v>
      </c>
      <c r="D415" s="73">
        <v>1271</v>
      </c>
      <c r="E415" s="73">
        <v>3170</v>
      </c>
      <c r="F415" s="73">
        <v>3300</v>
      </c>
      <c r="G415" s="73">
        <v>932</v>
      </c>
      <c r="H415" s="73">
        <v>2368</v>
      </c>
      <c r="I415" s="73">
        <v>1141</v>
      </c>
      <c r="J415" s="73">
        <v>339</v>
      </c>
      <c r="K415" s="73">
        <v>802</v>
      </c>
    </row>
    <row r="416" spans="2:11">
      <c r="B416" s="72" t="s">
        <v>296</v>
      </c>
      <c r="C416" s="73">
        <v>7437</v>
      </c>
      <c r="D416" s="73">
        <v>2114</v>
      </c>
      <c r="E416" s="73">
        <v>5323</v>
      </c>
      <c r="F416" s="73">
        <v>5545</v>
      </c>
      <c r="G416" s="73">
        <v>1561</v>
      </c>
      <c r="H416" s="73">
        <v>3984</v>
      </c>
      <c r="I416" s="73">
        <v>1892</v>
      </c>
      <c r="J416" s="73">
        <v>553</v>
      </c>
      <c r="K416" s="73">
        <v>1339</v>
      </c>
    </row>
    <row r="417" spans="2:11">
      <c r="B417" s="72" t="s">
        <v>297</v>
      </c>
      <c r="C417" s="73">
        <v>6710</v>
      </c>
      <c r="D417" s="73">
        <v>1788</v>
      </c>
      <c r="E417" s="73">
        <v>4922</v>
      </c>
      <c r="F417" s="73">
        <v>4957</v>
      </c>
      <c r="G417" s="73">
        <v>1266</v>
      </c>
      <c r="H417" s="73">
        <v>3691</v>
      </c>
      <c r="I417" s="73">
        <v>1753</v>
      </c>
      <c r="J417" s="73">
        <v>522</v>
      </c>
      <c r="K417" s="73">
        <v>1231</v>
      </c>
    </row>
    <row r="418" spans="2:11">
      <c r="B418" s="72" t="s">
        <v>298</v>
      </c>
      <c r="C418" s="73">
        <v>7397</v>
      </c>
      <c r="D418" s="73">
        <v>1875</v>
      </c>
      <c r="E418" s="73">
        <v>5522</v>
      </c>
      <c r="F418" s="73">
        <v>5551</v>
      </c>
      <c r="G418" s="73">
        <v>1381</v>
      </c>
      <c r="H418" s="73">
        <v>4170</v>
      </c>
      <c r="I418" s="73">
        <v>1846</v>
      </c>
      <c r="J418" s="73">
        <v>494</v>
      </c>
      <c r="K418" s="73">
        <v>1352</v>
      </c>
    </row>
    <row r="419" spans="2:11">
      <c r="B419" s="74" t="s">
        <v>367</v>
      </c>
      <c r="C419" s="75">
        <v>28903</v>
      </c>
      <c r="D419" s="75">
        <v>7953</v>
      </c>
      <c r="E419" s="75">
        <v>20950</v>
      </c>
      <c r="F419" s="75">
        <v>21550</v>
      </c>
      <c r="G419" s="75">
        <v>5814</v>
      </c>
      <c r="H419" s="75">
        <v>15736</v>
      </c>
      <c r="I419" s="75">
        <v>7353</v>
      </c>
      <c r="J419" s="75">
        <v>2139</v>
      </c>
      <c r="K419" s="75">
        <v>5214</v>
      </c>
    </row>
    <row r="420" spans="2:11">
      <c r="B420" s="72" t="s">
        <v>368</v>
      </c>
      <c r="C420" s="73">
        <v>39383</v>
      </c>
      <c r="D420" s="73">
        <v>8664</v>
      </c>
      <c r="E420" s="73">
        <v>30719</v>
      </c>
      <c r="F420" s="73">
        <v>28455</v>
      </c>
      <c r="G420" s="73">
        <v>6003</v>
      </c>
      <c r="H420" s="73">
        <v>22452</v>
      </c>
      <c r="I420" s="73">
        <v>10928</v>
      </c>
      <c r="J420" s="73">
        <v>2661</v>
      </c>
      <c r="K420" s="73">
        <v>8267</v>
      </c>
    </row>
    <row r="421" spans="2:11">
      <c r="B421" s="72" t="s">
        <v>369</v>
      </c>
      <c r="C421" s="73">
        <v>15711</v>
      </c>
      <c r="D421" s="73">
        <v>3037</v>
      </c>
      <c r="E421" s="73">
        <v>12674</v>
      </c>
      <c r="F421" s="73">
        <v>11328</v>
      </c>
      <c r="G421" s="73">
        <v>2084</v>
      </c>
      <c r="H421" s="73">
        <v>9244</v>
      </c>
      <c r="I421" s="73">
        <v>4383</v>
      </c>
      <c r="J421" s="73">
        <v>953</v>
      </c>
      <c r="K421" s="73">
        <v>3430</v>
      </c>
    </row>
    <row r="422" spans="2:11">
      <c r="B422" s="72"/>
      <c r="C422" s="73"/>
      <c r="D422" s="73"/>
      <c r="E422" s="73"/>
      <c r="F422" s="73"/>
      <c r="G422" s="73"/>
      <c r="H422" s="73"/>
      <c r="I422" s="73"/>
      <c r="J422" s="73"/>
      <c r="K422" s="73"/>
    </row>
    <row r="423" spans="2:11">
      <c r="B423" s="74" t="s">
        <v>103</v>
      </c>
      <c r="C423" s="75">
        <v>1144119</v>
      </c>
      <c r="D423" s="75">
        <v>536282</v>
      </c>
      <c r="E423" s="75">
        <v>607837</v>
      </c>
      <c r="F423" s="75">
        <v>896068</v>
      </c>
      <c r="G423" s="75">
        <v>412166</v>
      </c>
      <c r="H423" s="75">
        <v>483902</v>
      </c>
      <c r="I423" s="75">
        <v>248051</v>
      </c>
      <c r="J423" s="75">
        <v>124116</v>
      </c>
      <c r="K423" s="75">
        <v>123935</v>
      </c>
    </row>
    <row r="424" spans="2:11">
      <c r="B424" s="76"/>
      <c r="C424" s="73"/>
      <c r="D424" s="73"/>
      <c r="E424" s="73"/>
      <c r="F424" s="73"/>
      <c r="G424" s="73"/>
      <c r="H424" s="73"/>
      <c r="I424" s="73"/>
      <c r="J424" s="73"/>
      <c r="K424" s="73"/>
    </row>
    <row r="425" spans="2:11">
      <c r="B425" s="77" t="s">
        <v>320</v>
      </c>
      <c r="C425" s="75">
        <v>216937</v>
      </c>
      <c r="D425" s="75">
        <v>111705</v>
      </c>
      <c r="E425" s="75">
        <v>105232</v>
      </c>
      <c r="F425" s="75">
        <v>169592</v>
      </c>
      <c r="G425" s="75">
        <v>87347</v>
      </c>
      <c r="H425" s="75">
        <v>82245</v>
      </c>
      <c r="I425" s="75">
        <v>47345</v>
      </c>
      <c r="J425" s="75">
        <v>24358</v>
      </c>
      <c r="K425" s="75">
        <v>22987</v>
      </c>
    </row>
    <row r="426" spans="2:11">
      <c r="B426" s="74" t="s">
        <v>321</v>
      </c>
      <c r="C426" s="75">
        <v>618044</v>
      </c>
      <c r="D426" s="75">
        <v>333759</v>
      </c>
      <c r="E426" s="75">
        <v>284285</v>
      </c>
      <c r="F426" s="75">
        <v>501236</v>
      </c>
      <c r="G426" s="75">
        <v>261492</v>
      </c>
      <c r="H426" s="75">
        <v>239744</v>
      </c>
      <c r="I426" s="75">
        <v>116808</v>
      </c>
      <c r="J426" s="75">
        <v>72267</v>
      </c>
      <c r="K426" s="75">
        <v>44541</v>
      </c>
    </row>
    <row r="427" spans="2:11">
      <c r="B427" s="74" t="s">
        <v>322</v>
      </c>
      <c r="C427" s="75">
        <v>309138</v>
      </c>
      <c r="D427" s="75">
        <v>90818</v>
      </c>
      <c r="E427" s="75">
        <v>218320</v>
      </c>
      <c r="F427" s="75">
        <v>225240</v>
      </c>
      <c r="G427" s="75">
        <v>63327</v>
      </c>
      <c r="H427" s="75">
        <v>161913</v>
      </c>
      <c r="I427" s="75">
        <v>83898</v>
      </c>
      <c r="J427" s="75">
        <v>27491</v>
      </c>
      <c r="K427" s="75">
        <v>56407</v>
      </c>
    </row>
    <row r="431" ht="13.95"/>
    <row r="432" spans="2:11">
      <c r="B432" s="78" t="s">
        <v>370</v>
      </c>
      <c r="C432" s="79"/>
      <c r="D432" s="79"/>
      <c r="E432" s="79"/>
      <c r="F432" s="79"/>
      <c r="G432" s="79"/>
      <c r="H432" s="79"/>
      <c r="I432" s="79"/>
      <c r="J432" s="79"/>
      <c r="K432" s="80"/>
    </row>
    <row r="433" ht="13.95" spans="2:11">
      <c r="B433" s="81" t="s">
        <v>371</v>
      </c>
      <c r="C433" s="82"/>
      <c r="D433" s="82"/>
      <c r="E433" s="82"/>
      <c r="F433" s="82"/>
      <c r="G433" s="82"/>
      <c r="H433" s="82"/>
      <c r="I433" s="82"/>
      <c r="J433" s="82"/>
      <c r="K433" s="83"/>
    </row>
    <row r="434" ht="13.95" spans="2:11">
      <c r="B434" s="84" t="s">
        <v>187</v>
      </c>
      <c r="C434" s="84"/>
      <c r="D434" s="84"/>
      <c r="E434" s="84"/>
      <c r="F434" s="84"/>
      <c r="G434" s="84"/>
      <c r="H434" s="84"/>
      <c r="I434" s="84"/>
      <c r="J434" s="84"/>
      <c r="K434" s="84"/>
    </row>
    <row r="435" ht="14.7" spans="2:11">
      <c r="B435" s="85" t="s">
        <v>334</v>
      </c>
      <c r="C435" s="86" t="s">
        <v>335</v>
      </c>
      <c r="D435" s="86"/>
      <c r="E435" s="86"/>
      <c r="F435" s="87" t="s">
        <v>212</v>
      </c>
      <c r="G435" s="87"/>
      <c r="H435" s="87"/>
      <c r="I435" s="88" t="s">
        <v>213</v>
      </c>
      <c r="J435" s="88"/>
      <c r="K435" s="88"/>
    </row>
    <row r="436" ht="14.7" spans="2:11">
      <c r="B436" s="85"/>
      <c r="C436" s="89" t="s">
        <v>215</v>
      </c>
      <c r="D436" s="90" t="s">
        <v>215</v>
      </c>
      <c r="E436" s="90" t="s">
        <v>216</v>
      </c>
      <c r="F436" s="89" t="s">
        <v>215</v>
      </c>
      <c r="G436" s="90" t="s">
        <v>215</v>
      </c>
      <c r="H436" s="90" t="s">
        <v>216</v>
      </c>
      <c r="I436" s="89" t="s">
        <v>215</v>
      </c>
      <c r="J436" s="90" t="s">
        <v>215</v>
      </c>
      <c r="K436" s="91" t="s">
        <v>216</v>
      </c>
    </row>
    <row r="437" ht="27.9" spans="2:11">
      <c r="B437" s="85"/>
      <c r="C437" s="92" t="s">
        <v>337</v>
      </c>
      <c r="D437" s="90"/>
      <c r="E437" s="90"/>
      <c r="F437" s="92" t="s">
        <v>337</v>
      </c>
      <c r="G437" s="90"/>
      <c r="H437" s="90"/>
      <c r="I437" s="92" t="s">
        <v>337</v>
      </c>
      <c r="J437" s="90"/>
      <c r="K437" s="91"/>
    </row>
    <row r="438" ht="14.7" spans="2:11">
      <c r="B438" s="93" t="s">
        <v>372</v>
      </c>
      <c r="C438" s="94">
        <v>1110597</v>
      </c>
      <c r="D438" s="94">
        <v>516901</v>
      </c>
      <c r="E438" s="94">
        <v>593696</v>
      </c>
      <c r="F438" s="94">
        <v>855383</v>
      </c>
      <c r="G438" s="94">
        <v>391951</v>
      </c>
      <c r="H438" s="94">
        <v>463432</v>
      </c>
      <c r="I438" s="94">
        <v>255214</v>
      </c>
      <c r="J438" s="94">
        <v>124950</v>
      </c>
      <c r="K438" s="95">
        <v>130264</v>
      </c>
    </row>
    <row r="439" ht="13.95" spans="2:11">
      <c r="B439" s="96" t="s">
        <v>373</v>
      </c>
      <c r="C439" s="97"/>
      <c r="D439" s="97"/>
      <c r="E439" s="97"/>
      <c r="F439" s="97"/>
      <c r="G439" s="97"/>
      <c r="H439" s="97"/>
      <c r="I439" s="97"/>
      <c r="J439" s="97"/>
      <c r="K439" s="98"/>
    </row>
    <row r="440" ht="13.95" spans="2:11">
      <c r="B440" s="99" t="s">
        <v>374</v>
      </c>
      <c r="C440" s="97"/>
      <c r="D440" s="97"/>
      <c r="E440" s="97"/>
      <c r="F440" s="97"/>
      <c r="G440" s="97"/>
      <c r="H440" s="97"/>
      <c r="I440" s="97"/>
      <c r="J440" s="97"/>
      <c r="K440" s="98"/>
    </row>
    <row r="441" ht="13.95" spans="2:11">
      <c r="B441" s="100" t="s">
        <v>340</v>
      </c>
      <c r="C441" s="101">
        <v>66474</v>
      </c>
      <c r="D441" s="101">
        <v>34961</v>
      </c>
      <c r="E441" s="101">
        <v>31513</v>
      </c>
      <c r="F441" s="101">
        <v>51406</v>
      </c>
      <c r="G441" s="101">
        <v>26535</v>
      </c>
      <c r="H441" s="101">
        <v>24871</v>
      </c>
      <c r="I441" s="101">
        <v>15068</v>
      </c>
      <c r="J441" s="101">
        <v>8426</v>
      </c>
      <c r="K441" s="102">
        <v>6642</v>
      </c>
    </row>
    <row r="442" ht="13.95" spans="2:11">
      <c r="B442" s="103" t="s">
        <v>168</v>
      </c>
      <c r="C442" s="101">
        <v>66360</v>
      </c>
      <c r="D442" s="101">
        <v>34011</v>
      </c>
      <c r="E442" s="101">
        <v>32349</v>
      </c>
      <c r="F442" s="101">
        <v>51527</v>
      </c>
      <c r="G442" s="101">
        <v>26364</v>
      </c>
      <c r="H442" s="101">
        <v>25163</v>
      </c>
      <c r="I442" s="101">
        <v>14833</v>
      </c>
      <c r="J442" s="101">
        <v>7647</v>
      </c>
      <c r="K442" s="102">
        <v>7186</v>
      </c>
    </row>
    <row r="443" ht="13.95" spans="2:11">
      <c r="B443" s="103" t="s">
        <v>345</v>
      </c>
      <c r="C443" s="101">
        <v>60126</v>
      </c>
      <c r="D443" s="101">
        <v>31220</v>
      </c>
      <c r="E443" s="101">
        <v>28906</v>
      </c>
      <c r="F443" s="101">
        <v>46558</v>
      </c>
      <c r="G443" s="101">
        <v>24260</v>
      </c>
      <c r="H443" s="101">
        <v>22298</v>
      </c>
      <c r="I443" s="101">
        <v>13568</v>
      </c>
      <c r="J443" s="101">
        <v>6960</v>
      </c>
      <c r="K443" s="102">
        <v>6608</v>
      </c>
    </row>
    <row r="444" ht="13.95" spans="2:11">
      <c r="B444" s="100" t="s">
        <v>350</v>
      </c>
      <c r="C444" s="101">
        <v>47653</v>
      </c>
      <c r="D444" s="101">
        <v>25495</v>
      </c>
      <c r="E444" s="101">
        <v>22158</v>
      </c>
      <c r="F444" s="101">
        <v>38706</v>
      </c>
      <c r="G444" s="101">
        <v>20466</v>
      </c>
      <c r="H444" s="101">
        <v>18240</v>
      </c>
      <c r="I444" s="101">
        <v>8947</v>
      </c>
      <c r="J444" s="101">
        <v>5029</v>
      </c>
      <c r="K444" s="102">
        <v>3918</v>
      </c>
    </row>
    <row r="445" ht="13.95" spans="2:11">
      <c r="B445" s="100" t="s">
        <v>351</v>
      </c>
      <c r="C445" s="101">
        <v>47853</v>
      </c>
      <c r="D445" s="101">
        <v>24719</v>
      </c>
      <c r="E445" s="101">
        <v>23134</v>
      </c>
      <c r="F445" s="101">
        <v>41011</v>
      </c>
      <c r="G445" s="101">
        <v>20643</v>
      </c>
      <c r="H445" s="101">
        <v>20368</v>
      </c>
      <c r="I445" s="101">
        <v>6842</v>
      </c>
      <c r="J445" s="101">
        <v>4076</v>
      </c>
      <c r="K445" s="102">
        <v>2766</v>
      </c>
    </row>
    <row r="446" ht="13.95" spans="2:11">
      <c r="B446" s="100" t="s">
        <v>352</v>
      </c>
      <c r="C446" s="101">
        <v>80659</v>
      </c>
      <c r="D446" s="101">
        <v>42014</v>
      </c>
      <c r="E446" s="101">
        <v>38645</v>
      </c>
      <c r="F446" s="101">
        <v>66626</v>
      </c>
      <c r="G446" s="101">
        <v>33877</v>
      </c>
      <c r="H446" s="101">
        <v>32749</v>
      </c>
      <c r="I446" s="101">
        <v>14033</v>
      </c>
      <c r="J446" s="101">
        <v>8137</v>
      </c>
      <c r="K446" s="102">
        <v>5896</v>
      </c>
    </row>
    <row r="447" ht="13.95" spans="2:11">
      <c r="B447" s="100" t="s">
        <v>355</v>
      </c>
      <c r="C447" s="101">
        <v>92749</v>
      </c>
      <c r="D447" s="101">
        <v>47248</v>
      </c>
      <c r="E447" s="101">
        <v>45501</v>
      </c>
      <c r="F447" s="101">
        <v>76300</v>
      </c>
      <c r="G447" s="101">
        <v>38067</v>
      </c>
      <c r="H447" s="101">
        <v>38233</v>
      </c>
      <c r="I447" s="101">
        <v>16449</v>
      </c>
      <c r="J447" s="101">
        <v>9181</v>
      </c>
      <c r="K447" s="102">
        <v>7268</v>
      </c>
    </row>
    <row r="448" ht="13.95" spans="2:11">
      <c r="B448" s="100" t="s">
        <v>357</v>
      </c>
      <c r="C448" s="101">
        <v>87849</v>
      </c>
      <c r="D448" s="101">
        <v>43758</v>
      </c>
      <c r="E448" s="101">
        <v>44091</v>
      </c>
      <c r="F448" s="101">
        <v>70717</v>
      </c>
      <c r="G448" s="101">
        <v>34387</v>
      </c>
      <c r="H448" s="101">
        <v>36330</v>
      </c>
      <c r="I448" s="101">
        <v>17132</v>
      </c>
      <c r="J448" s="101">
        <v>9371</v>
      </c>
      <c r="K448" s="102">
        <v>7761</v>
      </c>
    </row>
    <row r="449" ht="13.95" spans="2:11">
      <c r="B449" s="100" t="s">
        <v>359</v>
      </c>
      <c r="C449" s="101">
        <v>82210</v>
      </c>
      <c r="D449" s="101">
        <v>40304</v>
      </c>
      <c r="E449" s="101">
        <v>41906</v>
      </c>
      <c r="F449" s="101">
        <v>64700</v>
      </c>
      <c r="G449" s="101">
        <v>31106</v>
      </c>
      <c r="H449" s="101">
        <v>33594</v>
      </c>
      <c r="I449" s="101">
        <v>17510</v>
      </c>
      <c r="J449" s="101">
        <v>9198</v>
      </c>
      <c r="K449" s="102">
        <v>8312</v>
      </c>
    </row>
    <row r="450" ht="13.95" spans="2:11">
      <c r="B450" s="100" t="s">
        <v>360</v>
      </c>
      <c r="C450" s="101">
        <v>68764</v>
      </c>
      <c r="D450" s="101">
        <v>32972</v>
      </c>
      <c r="E450" s="101">
        <v>35792</v>
      </c>
      <c r="F450" s="101">
        <v>51743</v>
      </c>
      <c r="G450" s="101">
        <v>24455</v>
      </c>
      <c r="H450" s="101">
        <v>27288</v>
      </c>
      <c r="I450" s="101">
        <v>17021</v>
      </c>
      <c r="J450" s="101">
        <v>8517</v>
      </c>
      <c r="K450" s="102">
        <v>8504</v>
      </c>
    </row>
    <row r="451" ht="13.95" spans="2:11">
      <c r="B451" s="100" t="s">
        <v>362</v>
      </c>
      <c r="C451" s="101">
        <v>76500</v>
      </c>
      <c r="D451" s="101">
        <v>35755</v>
      </c>
      <c r="E451" s="101">
        <v>40745</v>
      </c>
      <c r="F451" s="101">
        <v>54732</v>
      </c>
      <c r="G451" s="101">
        <v>25098</v>
      </c>
      <c r="H451" s="101">
        <v>29634</v>
      </c>
      <c r="I451" s="101">
        <v>21768</v>
      </c>
      <c r="J451" s="101">
        <v>10657</v>
      </c>
      <c r="K451" s="102">
        <v>11111</v>
      </c>
    </row>
    <row r="452" ht="13.95" spans="2:11">
      <c r="B452" s="100" t="s">
        <v>363</v>
      </c>
      <c r="C452" s="101">
        <v>89452</v>
      </c>
      <c r="D452" s="101">
        <v>39764</v>
      </c>
      <c r="E452" s="101">
        <v>49688</v>
      </c>
      <c r="F452" s="101">
        <v>62582</v>
      </c>
      <c r="G452" s="101">
        <v>26744</v>
      </c>
      <c r="H452" s="101">
        <v>35838</v>
      </c>
      <c r="I452" s="101">
        <v>26870</v>
      </c>
      <c r="J452" s="101">
        <v>13020</v>
      </c>
      <c r="K452" s="102">
        <v>13850</v>
      </c>
    </row>
    <row r="453" ht="13.95" spans="2:11">
      <c r="B453" s="100" t="s">
        <v>364</v>
      </c>
      <c r="C453" s="101">
        <v>83347</v>
      </c>
      <c r="D453" s="101">
        <v>34047</v>
      </c>
      <c r="E453" s="101">
        <v>49300</v>
      </c>
      <c r="F453" s="101">
        <v>59454</v>
      </c>
      <c r="G453" s="101">
        <v>23312</v>
      </c>
      <c r="H453" s="101">
        <v>36142</v>
      </c>
      <c r="I453" s="101">
        <v>23893</v>
      </c>
      <c r="J453" s="101">
        <v>10735</v>
      </c>
      <c r="K453" s="102">
        <v>13158</v>
      </c>
    </row>
    <row r="454" ht="13.95" spans="2:11">
      <c r="B454" s="100" t="s">
        <v>365</v>
      </c>
      <c r="C454" s="101">
        <v>62537</v>
      </c>
      <c r="D454" s="101">
        <v>23650</v>
      </c>
      <c r="E454" s="101">
        <v>38887</v>
      </c>
      <c r="F454" s="101">
        <v>46609</v>
      </c>
      <c r="G454" s="101">
        <v>17051</v>
      </c>
      <c r="H454" s="101">
        <v>29558</v>
      </c>
      <c r="I454" s="101">
        <v>15928</v>
      </c>
      <c r="J454" s="101">
        <v>6599</v>
      </c>
      <c r="K454" s="102">
        <v>9329</v>
      </c>
    </row>
    <row r="455" ht="13.95" spans="2:11">
      <c r="B455" s="100" t="s">
        <v>366</v>
      </c>
      <c r="C455" s="101">
        <v>26189</v>
      </c>
      <c r="D455" s="101">
        <v>8916</v>
      </c>
      <c r="E455" s="101">
        <v>17273</v>
      </c>
      <c r="F455" s="101">
        <v>20206</v>
      </c>
      <c r="G455" s="101">
        <v>6674</v>
      </c>
      <c r="H455" s="101">
        <v>13532</v>
      </c>
      <c r="I455" s="101">
        <v>5983</v>
      </c>
      <c r="J455" s="101">
        <v>2242</v>
      </c>
      <c r="K455" s="102">
        <v>3741</v>
      </c>
    </row>
    <row r="456" ht="13.95" spans="2:11">
      <c r="B456" s="100" t="s">
        <v>367</v>
      </c>
      <c r="C456" s="101">
        <v>37956</v>
      </c>
      <c r="D456" s="101">
        <v>10703</v>
      </c>
      <c r="E456" s="101">
        <v>27253</v>
      </c>
      <c r="F456" s="101">
        <v>28262</v>
      </c>
      <c r="G456" s="101">
        <v>7777</v>
      </c>
      <c r="H456" s="101">
        <v>20485</v>
      </c>
      <c r="I456" s="101">
        <v>9694</v>
      </c>
      <c r="J456" s="101">
        <v>2926</v>
      </c>
      <c r="K456" s="102">
        <v>6768</v>
      </c>
    </row>
    <row r="457" ht="13.95" spans="2:11">
      <c r="B457" s="100" t="s">
        <v>375</v>
      </c>
      <c r="C457" s="101">
        <v>19826</v>
      </c>
      <c r="D457" s="101">
        <v>4633</v>
      </c>
      <c r="E457" s="101">
        <v>15193</v>
      </c>
      <c r="F457" s="101">
        <v>14146</v>
      </c>
      <c r="G457" s="101">
        <v>3234</v>
      </c>
      <c r="H457" s="101">
        <v>10912</v>
      </c>
      <c r="I457" s="101">
        <v>5680</v>
      </c>
      <c r="J457" s="101">
        <v>1399</v>
      </c>
      <c r="K457" s="102">
        <v>4281</v>
      </c>
    </row>
    <row r="458" ht="13.95" spans="2:11">
      <c r="B458" s="100" t="s">
        <v>376</v>
      </c>
      <c r="C458" s="101">
        <v>10640</v>
      </c>
      <c r="D458" s="101">
        <v>2205</v>
      </c>
      <c r="E458" s="101">
        <v>8435</v>
      </c>
      <c r="F458" s="101">
        <v>7513</v>
      </c>
      <c r="G458" s="101">
        <v>1521</v>
      </c>
      <c r="H458" s="101">
        <v>5992</v>
      </c>
      <c r="I458" s="101">
        <v>3127</v>
      </c>
      <c r="J458" s="101">
        <v>684</v>
      </c>
      <c r="K458" s="102">
        <v>2443</v>
      </c>
    </row>
    <row r="459" ht="13.95" spans="2:11">
      <c r="B459" s="100" t="s">
        <v>377</v>
      </c>
      <c r="C459" s="101">
        <v>3090</v>
      </c>
      <c r="D459" s="101">
        <v>473</v>
      </c>
      <c r="E459" s="101">
        <v>2617</v>
      </c>
      <c r="F459" s="101">
        <v>2319</v>
      </c>
      <c r="G459" s="101">
        <v>349</v>
      </c>
      <c r="H459" s="101">
        <v>1970</v>
      </c>
      <c r="I459" s="101">
        <v>771</v>
      </c>
      <c r="J459" s="101">
        <v>124</v>
      </c>
      <c r="K459" s="102">
        <v>647</v>
      </c>
    </row>
    <row r="460" ht="13.95" spans="2:11">
      <c r="B460" s="100" t="s">
        <v>378</v>
      </c>
      <c r="C460" s="101">
        <v>336</v>
      </c>
      <c r="D460" s="101">
        <v>47</v>
      </c>
      <c r="E460" s="101">
        <v>289</v>
      </c>
      <c r="F460" s="101">
        <v>244</v>
      </c>
      <c r="G460" s="101">
        <v>28</v>
      </c>
      <c r="H460" s="101">
        <v>216</v>
      </c>
      <c r="I460" s="101">
        <v>92</v>
      </c>
      <c r="J460" s="101">
        <v>19</v>
      </c>
      <c r="K460" s="102">
        <v>73</v>
      </c>
    </row>
    <row r="461" ht="13.95" spans="2:11">
      <c r="B461" s="100" t="s">
        <v>379</v>
      </c>
      <c r="C461" s="101">
        <v>27</v>
      </c>
      <c r="D461" s="101">
        <v>6</v>
      </c>
      <c r="E461" s="101">
        <v>21</v>
      </c>
      <c r="F461" s="101">
        <v>22</v>
      </c>
      <c r="G461" s="101">
        <v>3</v>
      </c>
      <c r="H461" s="101">
        <v>19</v>
      </c>
      <c r="I461" s="101">
        <v>5</v>
      </c>
      <c r="J461" s="101">
        <v>3</v>
      </c>
      <c r="K461" s="102">
        <v>2</v>
      </c>
    </row>
    <row r="462" ht="13.95" spans="2:11">
      <c r="B462" s="100" t="s">
        <v>380</v>
      </c>
      <c r="C462" s="97"/>
      <c r="D462" s="97"/>
      <c r="E462" s="97"/>
      <c r="F462" s="97"/>
      <c r="G462" s="97"/>
      <c r="H462" s="97"/>
      <c r="I462" s="97"/>
      <c r="J462" s="97"/>
      <c r="K462" s="98"/>
    </row>
    <row r="463" ht="13.95" spans="2:11">
      <c r="B463" s="100" t="s">
        <v>320</v>
      </c>
      <c r="C463" s="101">
        <v>203956</v>
      </c>
      <c r="D463" s="101">
        <v>106266</v>
      </c>
      <c r="E463" s="101">
        <v>97690</v>
      </c>
      <c r="F463" s="101">
        <v>157768</v>
      </c>
      <c r="G463" s="101">
        <v>81839</v>
      </c>
      <c r="H463" s="101">
        <v>75929</v>
      </c>
      <c r="I463" s="101">
        <v>46188</v>
      </c>
      <c r="J463" s="101">
        <v>24427</v>
      </c>
      <c r="K463" s="102">
        <v>21761</v>
      </c>
    </row>
    <row r="464" ht="13.95" spans="2:11">
      <c r="B464" s="100" t="s">
        <v>381</v>
      </c>
      <c r="C464" s="101">
        <v>613005</v>
      </c>
      <c r="D464" s="101">
        <v>325955</v>
      </c>
      <c r="E464" s="101">
        <v>287050</v>
      </c>
      <c r="F464" s="101">
        <v>483002</v>
      </c>
      <c r="G464" s="101">
        <v>250163</v>
      </c>
      <c r="H464" s="101">
        <v>232839</v>
      </c>
      <c r="I464" s="101">
        <v>130003</v>
      </c>
      <c r="J464" s="101">
        <v>75792</v>
      </c>
      <c r="K464" s="102">
        <v>54211</v>
      </c>
    </row>
    <row r="465" ht="13.95" spans="2:11">
      <c r="B465" s="104" t="s">
        <v>382</v>
      </c>
      <c r="C465" s="105">
        <v>293636</v>
      </c>
      <c r="D465" s="105">
        <v>84680</v>
      </c>
      <c r="E465" s="105">
        <v>208956</v>
      </c>
      <c r="F465" s="105">
        <v>214613</v>
      </c>
      <c r="G465" s="105">
        <v>59949</v>
      </c>
      <c r="H465" s="105">
        <v>154664</v>
      </c>
      <c r="I465" s="105">
        <v>79023</v>
      </c>
      <c r="J465" s="105">
        <v>24731</v>
      </c>
      <c r="K465" s="106">
        <v>54292</v>
      </c>
    </row>
    <row r="466" ht="14.7" spans="2:11">
      <c r="B466" s="107" t="s">
        <v>383</v>
      </c>
      <c r="C466" s="107"/>
      <c r="D466" s="107"/>
      <c r="E466" s="107"/>
      <c r="F466" s="107"/>
      <c r="G466" s="107"/>
      <c r="H466" s="107"/>
      <c r="I466" s="107"/>
      <c r="J466" s="107"/>
      <c r="K466" s="107"/>
    </row>
    <row r="467" ht="13.95" spans="2:11">
      <c r="B467" s="107" t="s">
        <v>384</v>
      </c>
      <c r="C467" s="107"/>
      <c r="D467" s="107"/>
      <c r="E467" s="107"/>
      <c r="F467" s="107"/>
      <c r="G467" s="107"/>
      <c r="H467" s="107"/>
      <c r="I467" s="107"/>
      <c r="J467" s="107"/>
      <c r="K467" s="107"/>
    </row>
    <row r="469" ht="13.95"/>
    <row r="470" spans="2:11">
      <c r="B470" s="78" t="s">
        <v>385</v>
      </c>
      <c r="C470" s="79"/>
      <c r="D470" s="79"/>
      <c r="E470" s="79"/>
      <c r="F470" s="79"/>
      <c r="G470" s="79"/>
      <c r="H470" s="79"/>
      <c r="I470" s="79"/>
      <c r="J470" s="79"/>
      <c r="K470" s="80"/>
    </row>
    <row r="471" ht="13.95" spans="2:11">
      <c r="B471" s="81" t="s">
        <v>371</v>
      </c>
      <c r="C471" s="82"/>
      <c r="D471" s="82"/>
      <c r="E471" s="82"/>
      <c r="F471" s="82"/>
      <c r="G471" s="82"/>
      <c r="H471" s="82"/>
      <c r="I471" s="82"/>
      <c r="J471" s="82"/>
      <c r="K471" s="83"/>
    </row>
    <row r="472" ht="13.95" spans="2:11">
      <c r="B472" s="84" t="s">
        <v>187</v>
      </c>
      <c r="C472" s="84"/>
      <c r="D472" s="84"/>
      <c r="E472" s="84"/>
      <c r="F472" s="84"/>
      <c r="G472" s="84"/>
      <c r="H472" s="84"/>
      <c r="I472" s="84"/>
      <c r="J472" s="84"/>
      <c r="K472" s="84"/>
    </row>
    <row r="473" ht="14.7" spans="2:11">
      <c r="B473" s="85" t="s">
        <v>334</v>
      </c>
      <c r="C473" s="86" t="s">
        <v>335</v>
      </c>
      <c r="D473" s="86"/>
      <c r="E473" s="86"/>
      <c r="F473" s="87" t="s">
        <v>212</v>
      </c>
      <c r="G473" s="87"/>
      <c r="H473" s="87"/>
      <c r="I473" s="88" t="s">
        <v>213</v>
      </c>
      <c r="J473" s="88"/>
      <c r="K473" s="88"/>
    </row>
    <row r="474" ht="14.7" spans="2:11">
      <c r="B474" s="85"/>
      <c r="C474" s="89" t="s">
        <v>215</v>
      </c>
      <c r="D474" s="90" t="s">
        <v>215</v>
      </c>
      <c r="E474" s="90" t="s">
        <v>216</v>
      </c>
      <c r="F474" s="89" t="s">
        <v>215</v>
      </c>
      <c r="G474" s="90" t="s">
        <v>215</v>
      </c>
      <c r="H474" s="90" t="s">
        <v>216</v>
      </c>
      <c r="I474" s="89" t="s">
        <v>215</v>
      </c>
      <c r="J474" s="90" t="s">
        <v>215</v>
      </c>
      <c r="K474" s="91" t="s">
        <v>216</v>
      </c>
    </row>
    <row r="475" ht="27.9" spans="2:11">
      <c r="B475" s="85"/>
      <c r="C475" s="92" t="s">
        <v>337</v>
      </c>
      <c r="D475" s="90"/>
      <c r="E475" s="90"/>
      <c r="F475" s="92" t="s">
        <v>337</v>
      </c>
      <c r="G475" s="90"/>
      <c r="H475" s="90"/>
      <c r="I475" s="92" t="s">
        <v>337</v>
      </c>
      <c r="J475" s="90"/>
      <c r="K475" s="91"/>
    </row>
    <row r="476" ht="14.7" spans="2:11">
      <c r="B476" s="93" t="s">
        <v>372</v>
      </c>
      <c r="C476" s="94">
        <v>1091130</v>
      </c>
      <c r="D476" s="94">
        <v>507149</v>
      </c>
      <c r="E476" s="94">
        <v>583981</v>
      </c>
      <c r="F476" s="94">
        <v>840882</v>
      </c>
      <c r="G476" s="94">
        <v>384796</v>
      </c>
      <c r="H476" s="94">
        <v>456086</v>
      </c>
      <c r="I476" s="94">
        <v>250248</v>
      </c>
      <c r="J476" s="94">
        <v>122353</v>
      </c>
      <c r="K476" s="95">
        <v>127895</v>
      </c>
    </row>
    <row r="477" ht="13.95" spans="2:11">
      <c r="B477" s="96" t="s">
        <v>373</v>
      </c>
      <c r="C477" s="97"/>
      <c r="D477" s="97"/>
      <c r="E477" s="97"/>
      <c r="F477" s="97"/>
      <c r="G477" s="97"/>
      <c r="H477" s="97"/>
      <c r="I477" s="97"/>
      <c r="J477" s="97"/>
      <c r="K477" s="98"/>
    </row>
    <row r="478" ht="13.95" spans="2:11">
      <c r="B478" s="99" t="s">
        <v>374</v>
      </c>
      <c r="C478" s="97"/>
      <c r="D478" s="97"/>
      <c r="E478" s="97"/>
      <c r="F478" s="97"/>
      <c r="G478" s="97"/>
      <c r="H478" s="97"/>
      <c r="I478" s="97"/>
      <c r="J478" s="97"/>
      <c r="K478" s="98"/>
    </row>
    <row r="479" ht="13.95" spans="2:11">
      <c r="B479" s="100" t="s">
        <v>340</v>
      </c>
      <c r="C479" s="101">
        <v>63868</v>
      </c>
      <c r="D479" s="101">
        <v>33364</v>
      </c>
      <c r="E479" s="101">
        <v>30504</v>
      </c>
      <c r="F479" s="101">
        <v>49881</v>
      </c>
      <c r="G479" s="101">
        <v>25572</v>
      </c>
      <c r="H479" s="101">
        <v>24309</v>
      </c>
      <c r="I479" s="101">
        <v>13987</v>
      </c>
      <c r="J479" s="101">
        <v>7792</v>
      </c>
      <c r="K479" s="102">
        <v>6195</v>
      </c>
    </row>
    <row r="480" ht="13.95" spans="2:11">
      <c r="B480" s="108">
        <v>46270</v>
      </c>
      <c r="C480" s="101">
        <v>65900</v>
      </c>
      <c r="D480" s="101">
        <v>33974</v>
      </c>
      <c r="E480" s="101">
        <v>31926</v>
      </c>
      <c r="F480" s="101">
        <v>51123</v>
      </c>
      <c r="G480" s="101">
        <v>26135</v>
      </c>
      <c r="H480" s="101">
        <v>24988</v>
      </c>
      <c r="I480" s="101">
        <v>14777</v>
      </c>
      <c r="J480" s="101">
        <v>7839</v>
      </c>
      <c r="K480" s="102">
        <v>6938</v>
      </c>
    </row>
    <row r="481" ht="13.95" spans="2:11">
      <c r="B481" s="109">
        <v>41913</v>
      </c>
      <c r="C481" s="101">
        <v>60504</v>
      </c>
      <c r="D481" s="101">
        <v>31215</v>
      </c>
      <c r="E481" s="101">
        <v>29289</v>
      </c>
      <c r="F481" s="101">
        <v>46938</v>
      </c>
      <c r="G481" s="101">
        <v>24293</v>
      </c>
      <c r="H481" s="101">
        <v>22645</v>
      </c>
      <c r="I481" s="101">
        <v>13566</v>
      </c>
      <c r="J481" s="101">
        <v>6922</v>
      </c>
      <c r="K481" s="102">
        <v>6644</v>
      </c>
    </row>
    <row r="482" ht="13.95" spans="2:11">
      <c r="B482" s="100" t="s">
        <v>350</v>
      </c>
      <c r="C482" s="101">
        <v>48610</v>
      </c>
      <c r="D482" s="101">
        <v>26211</v>
      </c>
      <c r="E482" s="101">
        <v>22399</v>
      </c>
      <c r="F482" s="101">
        <v>39764</v>
      </c>
      <c r="G482" s="101">
        <v>21394</v>
      </c>
      <c r="H482" s="101">
        <v>18370</v>
      </c>
      <c r="I482" s="101">
        <v>8846</v>
      </c>
      <c r="J482" s="101">
        <v>4817</v>
      </c>
      <c r="K482" s="102">
        <v>4029</v>
      </c>
    </row>
    <row r="483" ht="13.95" spans="2:11">
      <c r="B483" s="100" t="s">
        <v>351</v>
      </c>
      <c r="C483" s="101">
        <v>44458</v>
      </c>
      <c r="D483" s="101">
        <v>23069</v>
      </c>
      <c r="E483" s="101">
        <v>21389</v>
      </c>
      <c r="F483" s="101">
        <v>36831</v>
      </c>
      <c r="G483" s="101">
        <v>18578</v>
      </c>
      <c r="H483" s="101">
        <v>18253</v>
      </c>
      <c r="I483" s="101">
        <v>7627</v>
      </c>
      <c r="J483" s="101">
        <v>4491</v>
      </c>
      <c r="K483" s="102">
        <v>3136</v>
      </c>
    </row>
    <row r="484" ht="13.95" spans="2:11">
      <c r="B484" s="100" t="s">
        <v>352</v>
      </c>
      <c r="C484" s="101">
        <v>70390</v>
      </c>
      <c r="D484" s="101">
        <v>36333</v>
      </c>
      <c r="E484" s="101">
        <v>34057</v>
      </c>
      <c r="F484" s="101">
        <v>58919</v>
      </c>
      <c r="G484" s="101">
        <v>29793</v>
      </c>
      <c r="H484" s="101">
        <v>29126</v>
      </c>
      <c r="I484" s="101">
        <v>11471</v>
      </c>
      <c r="J484" s="101">
        <v>6540</v>
      </c>
      <c r="K484" s="102">
        <v>4931</v>
      </c>
    </row>
    <row r="485" ht="13.95" spans="2:11">
      <c r="B485" s="100" t="s">
        <v>355</v>
      </c>
      <c r="C485" s="101">
        <v>91559</v>
      </c>
      <c r="D485" s="101">
        <v>46779</v>
      </c>
      <c r="E485" s="101">
        <v>44780</v>
      </c>
      <c r="F485" s="101">
        <v>75213</v>
      </c>
      <c r="G485" s="101">
        <v>37589</v>
      </c>
      <c r="H485" s="101">
        <v>37624</v>
      </c>
      <c r="I485" s="101">
        <v>16346</v>
      </c>
      <c r="J485" s="101">
        <v>9190</v>
      </c>
      <c r="K485" s="102">
        <v>7156</v>
      </c>
    </row>
    <row r="486" ht="13.95" spans="2:11">
      <c r="B486" s="100" t="s">
        <v>357</v>
      </c>
      <c r="C486" s="101">
        <v>87398</v>
      </c>
      <c r="D486" s="101">
        <v>43504</v>
      </c>
      <c r="E486" s="101">
        <v>43894</v>
      </c>
      <c r="F486" s="101">
        <v>70603</v>
      </c>
      <c r="G486" s="101">
        <v>34337</v>
      </c>
      <c r="H486" s="101">
        <v>36266</v>
      </c>
      <c r="I486" s="101">
        <v>16795</v>
      </c>
      <c r="J486" s="101">
        <v>9167</v>
      </c>
      <c r="K486" s="102">
        <v>7628</v>
      </c>
    </row>
    <row r="487" ht="13.95" spans="2:11">
      <c r="B487" s="100" t="s">
        <v>359</v>
      </c>
      <c r="C487" s="101">
        <v>82552</v>
      </c>
      <c r="D487" s="101">
        <v>40431</v>
      </c>
      <c r="E487" s="101">
        <v>42121</v>
      </c>
      <c r="F487" s="101">
        <v>65128</v>
      </c>
      <c r="G487" s="101">
        <v>31214</v>
      </c>
      <c r="H487" s="101">
        <v>33914</v>
      </c>
      <c r="I487" s="101">
        <v>17424</v>
      </c>
      <c r="J487" s="101">
        <v>9217</v>
      </c>
      <c r="K487" s="102">
        <v>8207</v>
      </c>
    </row>
    <row r="488" ht="13.95" spans="2:11">
      <c r="B488" s="100" t="s">
        <v>360</v>
      </c>
      <c r="C488" s="101">
        <v>69445</v>
      </c>
      <c r="D488" s="101">
        <v>33347</v>
      </c>
      <c r="E488" s="101">
        <v>36098</v>
      </c>
      <c r="F488" s="101">
        <v>52985</v>
      </c>
      <c r="G488" s="101">
        <v>25027</v>
      </c>
      <c r="H488" s="101">
        <v>27958</v>
      </c>
      <c r="I488" s="101">
        <v>16460</v>
      </c>
      <c r="J488" s="101">
        <v>8320</v>
      </c>
      <c r="K488" s="102">
        <v>8140</v>
      </c>
    </row>
    <row r="489" ht="13.95" spans="2:11">
      <c r="B489" s="100" t="s">
        <v>362</v>
      </c>
      <c r="C489" s="101">
        <v>72097</v>
      </c>
      <c r="D489" s="101">
        <v>33745</v>
      </c>
      <c r="E489" s="101">
        <v>38352</v>
      </c>
      <c r="F489" s="101">
        <v>51703</v>
      </c>
      <c r="G489" s="101">
        <v>23830</v>
      </c>
      <c r="H489" s="101">
        <v>27873</v>
      </c>
      <c r="I489" s="101">
        <v>20394</v>
      </c>
      <c r="J489" s="101">
        <v>9915</v>
      </c>
      <c r="K489" s="102">
        <v>10479</v>
      </c>
    </row>
    <row r="490" ht="13.95" spans="2:11">
      <c r="B490" s="100" t="s">
        <v>363</v>
      </c>
      <c r="C490" s="101">
        <v>86272</v>
      </c>
      <c r="D490" s="101">
        <v>38523</v>
      </c>
      <c r="E490" s="101">
        <v>47749</v>
      </c>
      <c r="F490" s="101">
        <v>60320</v>
      </c>
      <c r="G490" s="101">
        <v>25967</v>
      </c>
      <c r="H490" s="101">
        <v>34353</v>
      </c>
      <c r="I490" s="101">
        <v>25952</v>
      </c>
      <c r="J490" s="101">
        <v>12556</v>
      </c>
      <c r="K490" s="102">
        <v>13396</v>
      </c>
    </row>
    <row r="491" ht="13.95" spans="2:11">
      <c r="B491" s="100" t="s">
        <v>364</v>
      </c>
      <c r="C491" s="101">
        <v>83100</v>
      </c>
      <c r="D491" s="101">
        <v>33974</v>
      </c>
      <c r="E491" s="101">
        <v>49126</v>
      </c>
      <c r="F491" s="101">
        <v>58750</v>
      </c>
      <c r="G491" s="101">
        <v>23069</v>
      </c>
      <c r="H491" s="101">
        <v>35681</v>
      </c>
      <c r="I491" s="101">
        <v>24350</v>
      </c>
      <c r="J491" s="101">
        <v>10905</v>
      </c>
      <c r="K491" s="102">
        <v>13445</v>
      </c>
    </row>
    <row r="492" ht="13.95" spans="2:11">
      <c r="B492" s="100" t="s">
        <v>365</v>
      </c>
      <c r="C492" s="101">
        <v>65536</v>
      </c>
      <c r="D492" s="101">
        <v>24777</v>
      </c>
      <c r="E492" s="101">
        <v>40759</v>
      </c>
      <c r="F492" s="101">
        <v>48458</v>
      </c>
      <c r="G492" s="101">
        <v>17687</v>
      </c>
      <c r="H492" s="101">
        <v>30771</v>
      </c>
      <c r="I492" s="101">
        <v>17078</v>
      </c>
      <c r="J492" s="101">
        <v>7090</v>
      </c>
      <c r="K492" s="102">
        <v>9988</v>
      </c>
    </row>
    <row r="493" ht="13.95" spans="2:11">
      <c r="B493" s="100" t="s">
        <v>366</v>
      </c>
      <c r="C493" s="101">
        <v>30168</v>
      </c>
      <c r="D493" s="101">
        <v>10418</v>
      </c>
      <c r="E493" s="101">
        <v>19750</v>
      </c>
      <c r="F493" s="101">
        <v>23356</v>
      </c>
      <c r="G493" s="101">
        <v>7787</v>
      </c>
      <c r="H493" s="101">
        <v>15569</v>
      </c>
      <c r="I493" s="101">
        <v>6812</v>
      </c>
      <c r="J493" s="101">
        <v>2631</v>
      </c>
      <c r="K493" s="102">
        <v>4181</v>
      </c>
    </row>
    <row r="494" ht="13.95" spans="2:11">
      <c r="B494" s="100" t="s">
        <v>367</v>
      </c>
      <c r="C494" s="101">
        <v>33503</v>
      </c>
      <c r="D494" s="101">
        <v>9454</v>
      </c>
      <c r="E494" s="101">
        <v>24049</v>
      </c>
      <c r="F494" s="101">
        <v>25107</v>
      </c>
      <c r="G494" s="101">
        <v>6939</v>
      </c>
      <c r="H494" s="101">
        <v>18168</v>
      </c>
      <c r="I494" s="101">
        <v>8396</v>
      </c>
      <c r="J494" s="101">
        <v>2515</v>
      </c>
      <c r="K494" s="102">
        <v>5881</v>
      </c>
    </row>
    <row r="495" ht="13.95" spans="2:11">
      <c r="B495" s="100" t="s">
        <v>375</v>
      </c>
      <c r="C495" s="101">
        <v>21115</v>
      </c>
      <c r="D495" s="101">
        <v>5147</v>
      </c>
      <c r="E495" s="101">
        <v>15968</v>
      </c>
      <c r="F495" s="101">
        <v>15296</v>
      </c>
      <c r="G495" s="101">
        <v>3595</v>
      </c>
      <c r="H495" s="101">
        <v>11701</v>
      </c>
      <c r="I495" s="101">
        <v>5819</v>
      </c>
      <c r="J495" s="101">
        <v>1552</v>
      </c>
      <c r="K495" s="102">
        <v>4267</v>
      </c>
    </row>
    <row r="496" ht="13.95" spans="2:11">
      <c r="B496" s="100" t="s">
        <v>376</v>
      </c>
      <c r="C496" s="101">
        <v>10995</v>
      </c>
      <c r="D496" s="101">
        <v>2301</v>
      </c>
      <c r="E496" s="101">
        <v>8694</v>
      </c>
      <c r="F496" s="101">
        <v>7781</v>
      </c>
      <c r="G496" s="101">
        <v>1568</v>
      </c>
      <c r="H496" s="101">
        <v>6213</v>
      </c>
      <c r="I496" s="101">
        <v>3214</v>
      </c>
      <c r="J496" s="101">
        <v>733</v>
      </c>
      <c r="K496" s="102">
        <v>2481</v>
      </c>
    </row>
    <row r="497" ht="13.95" spans="2:11">
      <c r="B497" s="100" t="s">
        <v>377</v>
      </c>
      <c r="C497" s="101">
        <v>3254</v>
      </c>
      <c r="D497" s="101">
        <v>517</v>
      </c>
      <c r="E497" s="101">
        <v>2737</v>
      </c>
      <c r="F497" s="101">
        <v>2412</v>
      </c>
      <c r="G497" s="101">
        <v>385</v>
      </c>
      <c r="H497" s="101">
        <v>2027</v>
      </c>
      <c r="I497" s="101">
        <v>842</v>
      </c>
      <c r="J497" s="101">
        <v>132</v>
      </c>
      <c r="K497" s="102">
        <v>710</v>
      </c>
    </row>
    <row r="498" ht="13.95" spans="2:11">
      <c r="B498" s="100" t="s">
        <v>378</v>
      </c>
      <c r="C498" s="101">
        <v>374</v>
      </c>
      <c r="D498" s="101">
        <v>61</v>
      </c>
      <c r="E498" s="101">
        <v>313</v>
      </c>
      <c r="F498" s="101">
        <v>292</v>
      </c>
      <c r="G498" s="101">
        <v>35</v>
      </c>
      <c r="H498" s="101">
        <v>257</v>
      </c>
      <c r="I498" s="101">
        <v>82</v>
      </c>
      <c r="J498" s="101">
        <v>26</v>
      </c>
      <c r="K498" s="102">
        <v>56</v>
      </c>
    </row>
    <row r="499" ht="13.95" spans="2:11">
      <c r="B499" s="100" t="s">
        <v>379</v>
      </c>
      <c r="C499" s="101">
        <v>32</v>
      </c>
      <c r="D499" s="101">
        <v>5</v>
      </c>
      <c r="E499" s="101">
        <v>27</v>
      </c>
      <c r="F499" s="101">
        <v>22</v>
      </c>
      <c r="G499" s="101">
        <v>2</v>
      </c>
      <c r="H499" s="101">
        <v>20</v>
      </c>
      <c r="I499" s="101">
        <v>10</v>
      </c>
      <c r="J499" s="101">
        <v>3</v>
      </c>
      <c r="K499" s="102">
        <v>7</v>
      </c>
    </row>
    <row r="500" ht="13.95" spans="2:11">
      <c r="B500" s="100" t="s">
        <v>380</v>
      </c>
      <c r="C500" s="97"/>
      <c r="D500" s="97"/>
      <c r="E500" s="97"/>
      <c r="F500" s="97"/>
      <c r="G500" s="97"/>
      <c r="H500" s="97"/>
      <c r="I500" s="97"/>
      <c r="J500" s="97"/>
      <c r="K500" s="98"/>
    </row>
    <row r="501" ht="13.95" spans="2:11">
      <c r="B501" s="100" t="s">
        <v>320</v>
      </c>
      <c r="C501" s="101">
        <v>201868</v>
      </c>
      <c r="D501" s="101">
        <v>104781</v>
      </c>
      <c r="E501" s="101">
        <v>97087</v>
      </c>
      <c r="F501" s="101">
        <v>156831</v>
      </c>
      <c r="G501" s="101">
        <v>80866</v>
      </c>
      <c r="H501" s="101">
        <v>75965</v>
      </c>
      <c r="I501" s="101">
        <v>45037</v>
      </c>
      <c r="J501" s="101">
        <v>23915</v>
      </c>
      <c r="K501" s="102">
        <v>21122</v>
      </c>
    </row>
    <row r="502" ht="13.95" spans="2:11">
      <c r="B502" s="100" t="s">
        <v>381</v>
      </c>
      <c r="C502" s="101">
        <v>593436</v>
      </c>
      <c r="D502" s="101">
        <v>315714</v>
      </c>
      <c r="E502" s="101">
        <v>277722</v>
      </c>
      <c r="F502" s="101">
        <v>468224</v>
      </c>
      <c r="G502" s="101">
        <v>242863</v>
      </c>
      <c r="H502" s="101">
        <v>225361</v>
      </c>
      <c r="I502" s="101">
        <v>125212</v>
      </c>
      <c r="J502" s="101">
        <v>72851</v>
      </c>
      <c r="K502" s="102">
        <v>52361</v>
      </c>
    </row>
    <row r="503" ht="13.95" spans="2:11">
      <c r="B503" s="104" t="s">
        <v>382</v>
      </c>
      <c r="C503" s="105">
        <v>295826</v>
      </c>
      <c r="D503" s="105">
        <v>86654</v>
      </c>
      <c r="E503" s="105">
        <v>209172</v>
      </c>
      <c r="F503" s="105">
        <v>215827</v>
      </c>
      <c r="G503" s="105">
        <v>61067</v>
      </c>
      <c r="H503" s="105">
        <v>154760</v>
      </c>
      <c r="I503" s="105">
        <v>79999</v>
      </c>
      <c r="J503" s="105">
        <v>25587</v>
      </c>
      <c r="K503" s="106">
        <v>54412</v>
      </c>
    </row>
    <row r="504" ht="14.7" spans="2:11">
      <c r="B504" s="107" t="s">
        <v>383</v>
      </c>
      <c r="C504" s="107"/>
      <c r="D504" s="107"/>
      <c r="E504" s="107"/>
      <c r="F504" s="107"/>
      <c r="G504" s="107"/>
      <c r="H504" s="107"/>
      <c r="I504" s="107"/>
      <c r="J504" s="107"/>
      <c r="K504" s="107"/>
    </row>
    <row r="505" ht="13.95" spans="2:11">
      <c r="B505" s="107" t="s">
        <v>384</v>
      </c>
      <c r="C505" s="107"/>
      <c r="D505" s="107"/>
      <c r="E505" s="107"/>
      <c r="F505" s="107"/>
      <c r="G505" s="107"/>
      <c r="H505" s="107"/>
      <c r="I505" s="107"/>
      <c r="J505" s="107"/>
      <c r="K505" s="107"/>
    </row>
    <row r="508" ht="13.95"/>
    <row r="509" spans="2:11">
      <c r="B509" s="78" t="s">
        <v>386</v>
      </c>
      <c r="C509" s="79"/>
      <c r="D509" s="79"/>
      <c r="E509" s="79"/>
      <c r="F509" s="79"/>
      <c r="G509" s="79"/>
      <c r="H509" s="79"/>
      <c r="I509" s="79"/>
      <c r="J509" s="79"/>
      <c r="K509" s="80"/>
    </row>
    <row r="510" ht="13.95" spans="2:11">
      <c r="B510" s="81" t="s">
        <v>371</v>
      </c>
      <c r="C510" s="82"/>
      <c r="D510" s="82"/>
      <c r="E510" s="82"/>
      <c r="F510" s="82"/>
      <c r="G510" s="82"/>
      <c r="H510" s="82"/>
      <c r="I510" s="82"/>
      <c r="J510" s="82"/>
      <c r="K510" s="83"/>
    </row>
    <row r="511" ht="13.95" spans="2:11">
      <c r="B511" s="84" t="s">
        <v>187</v>
      </c>
      <c r="C511" s="84"/>
      <c r="D511" s="84"/>
      <c r="E511" s="84"/>
      <c r="F511" s="84"/>
      <c r="G511" s="84"/>
      <c r="H511" s="84"/>
      <c r="I511" s="84"/>
      <c r="J511" s="84"/>
      <c r="K511" s="84"/>
    </row>
    <row r="512" ht="14.7" spans="2:11">
      <c r="B512" s="85" t="s">
        <v>334</v>
      </c>
      <c r="C512" s="86" t="s">
        <v>335</v>
      </c>
      <c r="D512" s="86"/>
      <c r="E512" s="86"/>
      <c r="F512" s="87" t="s">
        <v>212</v>
      </c>
      <c r="G512" s="87"/>
      <c r="H512" s="87"/>
      <c r="I512" s="88" t="s">
        <v>213</v>
      </c>
      <c r="J512" s="88"/>
      <c r="K512" s="88"/>
    </row>
    <row r="513" ht="14.7" spans="2:11">
      <c r="B513" s="85"/>
      <c r="C513" s="89" t="s">
        <v>215</v>
      </c>
      <c r="D513" s="90" t="s">
        <v>215</v>
      </c>
      <c r="E513" s="90" t="s">
        <v>216</v>
      </c>
      <c r="F513" s="89" t="s">
        <v>215</v>
      </c>
      <c r="G513" s="90" t="s">
        <v>215</v>
      </c>
      <c r="H513" s="90" t="s">
        <v>216</v>
      </c>
      <c r="I513" s="89" t="s">
        <v>215</v>
      </c>
      <c r="J513" s="90" t="s">
        <v>215</v>
      </c>
      <c r="K513" s="91" t="s">
        <v>216</v>
      </c>
    </row>
    <row r="514" ht="27.9" spans="2:11">
      <c r="B514" s="85"/>
      <c r="C514" s="92" t="s">
        <v>337</v>
      </c>
      <c r="D514" s="90"/>
      <c r="E514" s="90"/>
      <c r="F514" s="92" t="s">
        <v>337</v>
      </c>
      <c r="G514" s="90"/>
      <c r="H514" s="90"/>
      <c r="I514" s="92" t="s">
        <v>337</v>
      </c>
      <c r="J514" s="90"/>
      <c r="K514" s="91"/>
    </row>
    <row r="515" ht="14.7" spans="2:11">
      <c r="B515" s="93" t="s">
        <v>372</v>
      </c>
      <c r="C515" s="94">
        <v>1071587</v>
      </c>
      <c r="D515" s="94">
        <v>497552</v>
      </c>
      <c r="E515" s="94">
        <v>574035</v>
      </c>
      <c r="F515" s="94">
        <v>827092</v>
      </c>
      <c r="G515" s="94">
        <v>378204</v>
      </c>
      <c r="H515" s="94">
        <v>448888</v>
      </c>
      <c r="I515" s="94">
        <v>244495</v>
      </c>
      <c r="J515" s="94">
        <v>119348</v>
      </c>
      <c r="K515" s="95">
        <v>125147</v>
      </c>
    </row>
    <row r="516" ht="13.95" spans="2:11">
      <c r="B516" s="96" t="s">
        <v>373</v>
      </c>
      <c r="C516" s="97"/>
      <c r="D516" s="97"/>
      <c r="E516" s="97"/>
      <c r="F516" s="97"/>
      <c r="G516" s="97"/>
      <c r="H516" s="97"/>
      <c r="I516" s="97"/>
      <c r="J516" s="97"/>
      <c r="K516" s="98"/>
    </row>
    <row r="517" ht="13.95" spans="2:11">
      <c r="B517" s="99" t="s">
        <v>374</v>
      </c>
      <c r="C517" s="97"/>
      <c r="D517" s="97"/>
      <c r="E517" s="97"/>
      <c r="F517" s="97"/>
      <c r="G517" s="97"/>
      <c r="H517" s="97"/>
      <c r="I517" s="97"/>
      <c r="J517" s="97"/>
      <c r="K517" s="98"/>
    </row>
    <row r="518" ht="13.95" spans="2:11">
      <c r="B518" s="100" t="s">
        <v>340</v>
      </c>
      <c r="C518" s="101">
        <v>60582</v>
      </c>
      <c r="D518" s="101">
        <v>31647</v>
      </c>
      <c r="E518" s="101">
        <v>28935</v>
      </c>
      <c r="F518" s="101">
        <v>47825</v>
      </c>
      <c r="G518" s="101">
        <v>24557</v>
      </c>
      <c r="H518" s="101">
        <v>23268</v>
      </c>
      <c r="I518" s="101">
        <v>12757</v>
      </c>
      <c r="J518" s="101">
        <v>7090</v>
      </c>
      <c r="K518" s="102">
        <v>5667</v>
      </c>
    </row>
    <row r="519" ht="13.95" spans="2:11">
      <c r="B519" s="108">
        <v>46270</v>
      </c>
      <c r="C519" s="101">
        <v>65536</v>
      </c>
      <c r="D519" s="101">
        <v>34097</v>
      </c>
      <c r="E519" s="101">
        <v>31439</v>
      </c>
      <c r="F519" s="101">
        <v>50949</v>
      </c>
      <c r="G519" s="101">
        <v>26201</v>
      </c>
      <c r="H519" s="101">
        <v>24748</v>
      </c>
      <c r="I519" s="101">
        <v>14587</v>
      </c>
      <c r="J519" s="101">
        <v>7896</v>
      </c>
      <c r="K519" s="102">
        <v>6691</v>
      </c>
    </row>
    <row r="520" ht="13.95" spans="2:11">
      <c r="B520" s="109">
        <v>41913</v>
      </c>
      <c r="C520" s="101">
        <v>60796</v>
      </c>
      <c r="D520" s="101">
        <v>31132</v>
      </c>
      <c r="E520" s="101">
        <v>29664</v>
      </c>
      <c r="F520" s="101">
        <v>47251</v>
      </c>
      <c r="G520" s="101">
        <v>24231</v>
      </c>
      <c r="H520" s="101">
        <v>23020</v>
      </c>
      <c r="I520" s="101">
        <v>13545</v>
      </c>
      <c r="J520" s="101">
        <v>6901</v>
      </c>
      <c r="K520" s="102">
        <v>6644</v>
      </c>
    </row>
    <row r="521" ht="13.95" spans="2:11">
      <c r="B521" s="100" t="s">
        <v>350</v>
      </c>
      <c r="C521" s="101">
        <v>49471</v>
      </c>
      <c r="D521" s="101">
        <v>26764</v>
      </c>
      <c r="E521" s="101">
        <v>22707</v>
      </c>
      <c r="F521" s="101">
        <v>40618</v>
      </c>
      <c r="G521" s="101">
        <v>22046</v>
      </c>
      <c r="H521" s="101">
        <v>18572</v>
      </c>
      <c r="I521" s="101">
        <v>8853</v>
      </c>
      <c r="J521" s="101">
        <v>4718</v>
      </c>
      <c r="K521" s="102">
        <v>4135</v>
      </c>
    </row>
    <row r="522" ht="13.95" spans="2:11">
      <c r="B522" s="100" t="s">
        <v>351</v>
      </c>
      <c r="C522" s="101">
        <v>42861</v>
      </c>
      <c r="D522" s="101">
        <v>22441</v>
      </c>
      <c r="E522" s="101">
        <v>20420</v>
      </c>
      <c r="F522" s="101">
        <v>34951</v>
      </c>
      <c r="G522" s="101">
        <v>17680</v>
      </c>
      <c r="H522" s="101">
        <v>17271</v>
      </c>
      <c r="I522" s="101">
        <v>7910</v>
      </c>
      <c r="J522" s="101">
        <v>4761</v>
      </c>
      <c r="K522" s="102">
        <v>3149</v>
      </c>
    </row>
    <row r="523" ht="13.95" spans="2:11">
      <c r="B523" s="100" t="s">
        <v>352</v>
      </c>
      <c r="C523" s="101">
        <v>60656</v>
      </c>
      <c r="D523" s="101">
        <v>31157</v>
      </c>
      <c r="E523" s="101">
        <v>29499</v>
      </c>
      <c r="F523" s="101">
        <v>51196</v>
      </c>
      <c r="G523" s="101">
        <v>25864</v>
      </c>
      <c r="H523" s="101">
        <v>25332</v>
      </c>
      <c r="I523" s="101">
        <v>9460</v>
      </c>
      <c r="J523" s="101">
        <v>5293</v>
      </c>
      <c r="K523" s="102">
        <v>4167</v>
      </c>
    </row>
    <row r="524" ht="13.95" spans="2:11">
      <c r="B524" s="100" t="s">
        <v>355</v>
      </c>
      <c r="C524" s="101">
        <v>88624</v>
      </c>
      <c r="D524" s="101">
        <v>45256</v>
      </c>
      <c r="E524" s="101">
        <v>43368</v>
      </c>
      <c r="F524" s="101">
        <v>72853</v>
      </c>
      <c r="G524" s="101">
        <v>36359</v>
      </c>
      <c r="H524" s="101">
        <v>36494</v>
      </c>
      <c r="I524" s="101">
        <v>15771</v>
      </c>
      <c r="J524" s="101">
        <v>8897</v>
      </c>
      <c r="K524" s="102">
        <v>6874</v>
      </c>
    </row>
    <row r="525" ht="13.95" spans="2:11">
      <c r="B525" s="100" t="s">
        <v>357</v>
      </c>
      <c r="C525" s="101">
        <v>87399</v>
      </c>
      <c r="D525" s="101">
        <v>43395</v>
      </c>
      <c r="E525" s="101">
        <v>44004</v>
      </c>
      <c r="F525" s="101">
        <v>70868</v>
      </c>
      <c r="G525" s="101">
        <v>34426</v>
      </c>
      <c r="H525" s="101">
        <v>36442</v>
      </c>
      <c r="I525" s="101">
        <v>16531</v>
      </c>
      <c r="J525" s="101">
        <v>8969</v>
      </c>
      <c r="K525" s="102">
        <v>7562</v>
      </c>
    </row>
    <row r="526" ht="13.95" spans="2:11">
      <c r="B526" s="100" t="s">
        <v>359</v>
      </c>
      <c r="C526" s="101">
        <v>83349</v>
      </c>
      <c r="D526" s="101">
        <v>40826</v>
      </c>
      <c r="E526" s="101">
        <v>42523</v>
      </c>
      <c r="F526" s="101">
        <v>66090</v>
      </c>
      <c r="G526" s="101">
        <v>31604</v>
      </c>
      <c r="H526" s="101">
        <v>34486</v>
      </c>
      <c r="I526" s="101">
        <v>17259</v>
      </c>
      <c r="J526" s="101">
        <v>9222</v>
      </c>
      <c r="K526" s="102">
        <v>8037</v>
      </c>
    </row>
    <row r="527" ht="13.95" spans="2:11">
      <c r="B527" s="100" t="s">
        <v>360</v>
      </c>
      <c r="C527" s="101">
        <v>70067</v>
      </c>
      <c r="D527" s="101">
        <v>33748</v>
      </c>
      <c r="E527" s="101">
        <v>36319</v>
      </c>
      <c r="F527" s="101">
        <v>53770</v>
      </c>
      <c r="G527" s="101">
        <v>25515</v>
      </c>
      <c r="H527" s="101">
        <v>28255</v>
      </c>
      <c r="I527" s="101">
        <v>16297</v>
      </c>
      <c r="J527" s="101">
        <v>8233</v>
      </c>
      <c r="K527" s="102">
        <v>8064</v>
      </c>
    </row>
    <row r="528" ht="13.95" spans="2:11">
      <c r="B528" s="100" t="s">
        <v>362</v>
      </c>
      <c r="C528" s="101">
        <v>67871</v>
      </c>
      <c r="D528" s="101">
        <v>31755</v>
      </c>
      <c r="E528" s="101">
        <v>36116</v>
      </c>
      <c r="F528" s="101">
        <v>49141</v>
      </c>
      <c r="G528" s="101">
        <v>22682</v>
      </c>
      <c r="H528" s="101">
        <v>26459</v>
      </c>
      <c r="I528" s="101">
        <v>18730</v>
      </c>
      <c r="J528" s="101">
        <v>9073</v>
      </c>
      <c r="K528" s="102">
        <v>9657</v>
      </c>
    </row>
    <row r="529" ht="13.95" spans="2:11">
      <c r="B529" s="100" t="s">
        <v>363</v>
      </c>
      <c r="C529" s="101">
        <v>82518</v>
      </c>
      <c r="D529" s="101">
        <v>36831</v>
      </c>
      <c r="E529" s="101">
        <v>45687</v>
      </c>
      <c r="F529" s="101">
        <v>57665</v>
      </c>
      <c r="G529" s="101">
        <v>24941</v>
      </c>
      <c r="H529" s="101">
        <v>32724</v>
      </c>
      <c r="I529" s="101">
        <v>24853</v>
      </c>
      <c r="J529" s="101">
        <v>11890</v>
      </c>
      <c r="K529" s="102">
        <v>12963</v>
      </c>
    </row>
    <row r="530" ht="13.95" spans="2:11">
      <c r="B530" s="100" t="s">
        <v>364</v>
      </c>
      <c r="C530" s="101">
        <v>83050</v>
      </c>
      <c r="D530" s="101">
        <v>34085</v>
      </c>
      <c r="E530" s="101">
        <v>48965</v>
      </c>
      <c r="F530" s="101">
        <v>58394</v>
      </c>
      <c r="G530" s="101">
        <v>23011</v>
      </c>
      <c r="H530" s="101">
        <v>35383</v>
      </c>
      <c r="I530" s="101">
        <v>24656</v>
      </c>
      <c r="J530" s="101">
        <v>11074</v>
      </c>
      <c r="K530" s="102">
        <v>13582</v>
      </c>
    </row>
    <row r="531" ht="13.95" spans="2:11">
      <c r="B531" s="100" t="s">
        <v>365</v>
      </c>
      <c r="C531" s="101">
        <v>68456</v>
      </c>
      <c r="D531" s="101">
        <v>25895</v>
      </c>
      <c r="E531" s="101">
        <v>42561</v>
      </c>
      <c r="F531" s="101">
        <v>50212</v>
      </c>
      <c r="G531" s="101">
        <v>18302</v>
      </c>
      <c r="H531" s="101">
        <v>31910</v>
      </c>
      <c r="I531" s="101">
        <v>18244</v>
      </c>
      <c r="J531" s="101">
        <v>7593</v>
      </c>
      <c r="K531" s="102">
        <v>10651</v>
      </c>
    </row>
    <row r="532" ht="13.95" spans="2:11">
      <c r="B532" s="100" t="s">
        <v>366</v>
      </c>
      <c r="C532" s="101">
        <v>35267</v>
      </c>
      <c r="D532" s="101">
        <v>12160</v>
      </c>
      <c r="E532" s="101">
        <v>23107</v>
      </c>
      <c r="F532" s="101">
        <v>27181</v>
      </c>
      <c r="G532" s="101">
        <v>9036</v>
      </c>
      <c r="H532" s="101">
        <v>18145</v>
      </c>
      <c r="I532" s="101">
        <v>8086</v>
      </c>
      <c r="J532" s="101">
        <v>3124</v>
      </c>
      <c r="K532" s="102">
        <v>4962</v>
      </c>
    </row>
    <row r="533" ht="13.95" spans="2:11">
      <c r="B533" s="100" t="s">
        <v>367</v>
      </c>
      <c r="C533" s="101">
        <v>27940</v>
      </c>
      <c r="D533" s="101">
        <v>7904</v>
      </c>
      <c r="E533" s="101">
        <v>20036</v>
      </c>
      <c r="F533" s="101">
        <v>21167</v>
      </c>
      <c r="G533" s="101">
        <v>5849</v>
      </c>
      <c r="H533" s="101">
        <v>15318</v>
      </c>
      <c r="I533" s="101">
        <v>6773</v>
      </c>
      <c r="J533" s="101">
        <v>2055</v>
      </c>
      <c r="K533" s="102">
        <v>4718</v>
      </c>
    </row>
    <row r="534" ht="13.95" spans="2:11">
      <c r="B534" s="100" t="s">
        <v>375</v>
      </c>
      <c r="C534" s="101">
        <v>22717</v>
      </c>
      <c r="D534" s="101">
        <v>5613</v>
      </c>
      <c r="E534" s="101">
        <v>17104</v>
      </c>
      <c r="F534" s="101">
        <v>16675</v>
      </c>
      <c r="G534" s="101">
        <v>3972</v>
      </c>
      <c r="H534" s="101">
        <v>12703</v>
      </c>
      <c r="I534" s="101">
        <v>6042</v>
      </c>
      <c r="J534" s="101">
        <v>1641</v>
      </c>
      <c r="K534" s="102">
        <v>4401</v>
      </c>
    </row>
    <row r="535" ht="13.95" spans="2:11">
      <c r="B535" s="100" t="s">
        <v>376</v>
      </c>
      <c r="C535" s="101">
        <v>10605</v>
      </c>
      <c r="D535" s="101">
        <v>2228</v>
      </c>
      <c r="E535" s="101">
        <v>8377</v>
      </c>
      <c r="F535" s="101">
        <v>7458</v>
      </c>
      <c r="G535" s="101">
        <v>1504</v>
      </c>
      <c r="H535" s="101">
        <v>5954</v>
      </c>
      <c r="I535" s="101">
        <v>3147</v>
      </c>
      <c r="J535" s="101">
        <v>724</v>
      </c>
      <c r="K535" s="102">
        <v>2423</v>
      </c>
    </row>
    <row r="536" ht="13.95" spans="2:11">
      <c r="B536" s="100" t="s">
        <v>377</v>
      </c>
      <c r="C536" s="101">
        <v>3378</v>
      </c>
      <c r="D536" s="101">
        <v>542</v>
      </c>
      <c r="E536" s="101">
        <v>2836</v>
      </c>
      <c r="F536" s="101">
        <v>2482</v>
      </c>
      <c r="G536" s="101">
        <v>380</v>
      </c>
      <c r="H536" s="101">
        <v>2102</v>
      </c>
      <c r="I536" s="101">
        <v>896</v>
      </c>
      <c r="J536" s="101">
        <v>162</v>
      </c>
      <c r="K536" s="102">
        <v>734</v>
      </c>
    </row>
    <row r="537" ht="13.95" spans="2:11">
      <c r="B537" s="100" t="s">
        <v>378</v>
      </c>
      <c r="C537" s="101">
        <v>403</v>
      </c>
      <c r="D537" s="101">
        <v>67</v>
      </c>
      <c r="E537" s="101">
        <v>336</v>
      </c>
      <c r="F537" s="101">
        <v>318</v>
      </c>
      <c r="G537" s="101">
        <v>42</v>
      </c>
      <c r="H537" s="101">
        <v>276</v>
      </c>
      <c r="I537" s="101">
        <v>85</v>
      </c>
      <c r="J537" s="101">
        <v>25</v>
      </c>
      <c r="K537" s="102">
        <v>60</v>
      </c>
    </row>
    <row r="538" ht="13.95" spans="2:11">
      <c r="B538" s="100" t="s">
        <v>379</v>
      </c>
      <c r="C538" s="101">
        <v>41</v>
      </c>
      <c r="D538" s="101">
        <v>9</v>
      </c>
      <c r="E538" s="101">
        <v>32</v>
      </c>
      <c r="F538" s="101">
        <v>28</v>
      </c>
      <c r="G538" s="101">
        <v>2</v>
      </c>
      <c r="H538" s="101">
        <v>26</v>
      </c>
      <c r="I538" s="101">
        <v>13</v>
      </c>
      <c r="J538" s="101">
        <v>7</v>
      </c>
      <c r="K538" s="102">
        <v>6</v>
      </c>
    </row>
    <row r="539" ht="13.95" spans="2:11">
      <c r="B539" s="100" t="s">
        <v>380</v>
      </c>
      <c r="C539" s="97"/>
      <c r="D539" s="97"/>
      <c r="E539" s="97"/>
      <c r="F539" s="97"/>
      <c r="G539" s="97"/>
      <c r="H539" s="97"/>
      <c r="I539" s="97"/>
      <c r="J539" s="97"/>
      <c r="K539" s="98"/>
    </row>
    <row r="540" ht="13.95" spans="2:11">
      <c r="B540" s="100" t="s">
        <v>320</v>
      </c>
      <c r="C540" s="101">
        <v>198356</v>
      </c>
      <c r="D540" s="101">
        <v>102888</v>
      </c>
      <c r="E540" s="101">
        <v>95468</v>
      </c>
      <c r="F540" s="101">
        <v>154827</v>
      </c>
      <c r="G540" s="101">
        <v>79615</v>
      </c>
      <c r="H540" s="101">
        <v>75212</v>
      </c>
      <c r="I540" s="101">
        <v>43529</v>
      </c>
      <c r="J540" s="101">
        <v>23273</v>
      </c>
      <c r="K540" s="102">
        <v>20256</v>
      </c>
    </row>
    <row r="541" ht="13.95" spans="2:11">
      <c r="B541" s="100" t="s">
        <v>381</v>
      </c>
      <c r="C541" s="101">
        <v>575687</v>
      </c>
      <c r="D541" s="101">
        <v>306161</v>
      </c>
      <c r="E541" s="101">
        <v>269526</v>
      </c>
      <c r="F541" s="101">
        <v>455626</v>
      </c>
      <c r="G541" s="101">
        <v>236491</v>
      </c>
      <c r="H541" s="101">
        <v>219135</v>
      </c>
      <c r="I541" s="101">
        <v>120061</v>
      </c>
      <c r="J541" s="101">
        <v>69670</v>
      </c>
      <c r="K541" s="102">
        <v>50391</v>
      </c>
    </row>
    <row r="542" ht="13.95" spans="2:11">
      <c r="B542" s="104" t="s">
        <v>382</v>
      </c>
      <c r="C542" s="105">
        <v>297544</v>
      </c>
      <c r="D542" s="105">
        <v>88503</v>
      </c>
      <c r="E542" s="105">
        <v>209041</v>
      </c>
      <c r="F542" s="105">
        <v>216639</v>
      </c>
      <c r="G542" s="105">
        <v>62098</v>
      </c>
      <c r="H542" s="105">
        <v>154541</v>
      </c>
      <c r="I542" s="105">
        <v>80905</v>
      </c>
      <c r="J542" s="105">
        <v>26405</v>
      </c>
      <c r="K542" s="106">
        <v>54500</v>
      </c>
    </row>
    <row r="543" ht="13.95"/>
    <row r="544" ht="13.95"/>
    <row r="545" spans="2:11">
      <c r="B545" s="78" t="s">
        <v>387</v>
      </c>
      <c r="C545" s="79"/>
      <c r="D545" s="79"/>
      <c r="E545" s="79"/>
      <c r="F545" s="79"/>
      <c r="G545" s="79"/>
      <c r="H545" s="79"/>
      <c r="I545" s="79"/>
      <c r="J545" s="79"/>
      <c r="K545" s="80"/>
    </row>
    <row r="546" ht="13.95" spans="2:11">
      <c r="B546" s="81" t="s">
        <v>371</v>
      </c>
      <c r="C546" s="82"/>
      <c r="D546" s="82"/>
      <c r="E546" s="82"/>
      <c r="F546" s="82"/>
      <c r="G546" s="82"/>
      <c r="H546" s="82"/>
      <c r="I546" s="82"/>
      <c r="J546" s="82"/>
      <c r="K546" s="83"/>
    </row>
    <row r="547" ht="13.95" spans="2:11">
      <c r="B547" s="84" t="s">
        <v>187</v>
      </c>
      <c r="C547" s="84"/>
      <c r="D547" s="84"/>
      <c r="E547" s="84"/>
      <c r="F547" s="84"/>
      <c r="G547" s="84"/>
      <c r="H547" s="84"/>
      <c r="I547" s="84"/>
      <c r="J547" s="84"/>
      <c r="K547" s="84"/>
    </row>
    <row r="548" ht="14.7" spans="2:11">
      <c r="B548" s="85" t="s">
        <v>334</v>
      </c>
      <c r="C548" s="86" t="s">
        <v>335</v>
      </c>
      <c r="D548" s="86"/>
      <c r="E548" s="86"/>
      <c r="F548" s="87" t="s">
        <v>212</v>
      </c>
      <c r="G548" s="87"/>
      <c r="H548" s="87"/>
      <c r="I548" s="88" t="s">
        <v>213</v>
      </c>
      <c r="J548" s="88"/>
      <c r="K548" s="88"/>
    </row>
    <row r="549" ht="14.7" spans="2:11">
      <c r="B549" s="85"/>
      <c r="C549" s="89" t="s">
        <v>215</v>
      </c>
      <c r="D549" s="90" t="s">
        <v>215</v>
      </c>
      <c r="E549" s="90" t="s">
        <v>216</v>
      </c>
      <c r="F549" s="89" t="s">
        <v>215</v>
      </c>
      <c r="G549" s="90" t="s">
        <v>215</v>
      </c>
      <c r="H549" s="90" t="s">
        <v>216</v>
      </c>
      <c r="I549" s="89" t="s">
        <v>215</v>
      </c>
      <c r="J549" s="90" t="s">
        <v>215</v>
      </c>
      <c r="K549" s="91" t="s">
        <v>216</v>
      </c>
    </row>
    <row r="550" ht="27.9" spans="2:11">
      <c r="B550" s="85"/>
      <c r="C550" s="92" t="s">
        <v>337</v>
      </c>
      <c r="D550" s="90"/>
      <c r="E550" s="90"/>
      <c r="F550" s="92" t="s">
        <v>337</v>
      </c>
      <c r="G550" s="90"/>
      <c r="H550" s="90"/>
      <c r="I550" s="92" t="s">
        <v>337</v>
      </c>
      <c r="J550" s="90"/>
      <c r="K550" s="91"/>
    </row>
    <row r="551" ht="14.7" spans="2:11">
      <c r="B551" s="93" t="s">
        <v>372</v>
      </c>
      <c r="C551" s="94">
        <v>1055460</v>
      </c>
      <c r="D551" s="94">
        <v>489748</v>
      </c>
      <c r="E551" s="94">
        <v>565712</v>
      </c>
      <c r="F551" s="94">
        <v>815494</v>
      </c>
      <c r="G551" s="94">
        <v>372960</v>
      </c>
      <c r="H551" s="94">
        <v>442534</v>
      </c>
      <c r="I551" s="94">
        <v>239966</v>
      </c>
      <c r="J551" s="94">
        <v>116788</v>
      </c>
      <c r="K551" s="95">
        <v>123178</v>
      </c>
    </row>
    <row r="552" ht="13.95" spans="2:11">
      <c r="B552" s="96" t="s">
        <v>373</v>
      </c>
      <c r="C552" s="97"/>
      <c r="D552" s="97"/>
      <c r="E552" s="97"/>
      <c r="F552" s="97"/>
      <c r="G552" s="97"/>
      <c r="H552" s="97"/>
      <c r="I552" s="97"/>
      <c r="J552" s="97"/>
      <c r="K552" s="98"/>
    </row>
    <row r="553" ht="13.95" spans="2:11">
      <c r="B553" s="99" t="s">
        <v>374</v>
      </c>
      <c r="C553" s="97"/>
      <c r="D553" s="97"/>
      <c r="E553" s="97"/>
      <c r="F553" s="97"/>
      <c r="G553" s="97"/>
      <c r="H553" s="97"/>
      <c r="I553" s="97"/>
      <c r="J553" s="97"/>
      <c r="K553" s="98"/>
    </row>
    <row r="554" ht="13.95" spans="2:11">
      <c r="B554" s="100" t="s">
        <v>340</v>
      </c>
      <c r="C554" s="101">
        <v>56571</v>
      </c>
      <c r="D554" s="101">
        <v>29428</v>
      </c>
      <c r="E554" s="101">
        <v>27143</v>
      </c>
      <c r="F554" s="101">
        <v>45123</v>
      </c>
      <c r="G554" s="101">
        <v>23129</v>
      </c>
      <c r="H554" s="101">
        <v>21994</v>
      </c>
      <c r="I554" s="101">
        <v>11448</v>
      </c>
      <c r="J554" s="101">
        <v>6299</v>
      </c>
      <c r="K554" s="102">
        <v>5149</v>
      </c>
    </row>
    <row r="555" ht="13.95" spans="2:11">
      <c r="B555" s="108">
        <v>46270</v>
      </c>
      <c r="C555" s="101">
        <v>65170</v>
      </c>
      <c r="D555" s="101">
        <v>34140</v>
      </c>
      <c r="E555" s="101">
        <v>31030</v>
      </c>
      <c r="F555" s="101">
        <v>50690</v>
      </c>
      <c r="G555" s="101">
        <v>26060</v>
      </c>
      <c r="H555" s="101">
        <v>24630</v>
      </c>
      <c r="I555" s="101">
        <v>14480</v>
      </c>
      <c r="J555" s="101">
        <v>8080</v>
      </c>
      <c r="K555" s="102">
        <v>6400</v>
      </c>
    </row>
    <row r="556" ht="13.95" spans="2:11">
      <c r="B556" s="109">
        <v>41913</v>
      </c>
      <c r="C556" s="101">
        <v>61024</v>
      </c>
      <c r="D556" s="101">
        <v>31306</v>
      </c>
      <c r="E556" s="101">
        <v>29718</v>
      </c>
      <c r="F556" s="101">
        <v>47438</v>
      </c>
      <c r="G556" s="101">
        <v>24389</v>
      </c>
      <c r="H556" s="101">
        <v>23049</v>
      </c>
      <c r="I556" s="101">
        <v>13586</v>
      </c>
      <c r="J556" s="101">
        <v>6917</v>
      </c>
      <c r="K556" s="102">
        <v>6669</v>
      </c>
    </row>
    <row r="557" ht="13.95" spans="2:11">
      <c r="B557" s="100" t="s">
        <v>350</v>
      </c>
      <c r="C557" s="101">
        <v>52172</v>
      </c>
      <c r="D557" s="101">
        <v>28239</v>
      </c>
      <c r="E557" s="101">
        <v>23933</v>
      </c>
      <c r="F557" s="101">
        <v>43037</v>
      </c>
      <c r="G557" s="101">
        <v>23421</v>
      </c>
      <c r="H557" s="101">
        <v>19616</v>
      </c>
      <c r="I557" s="101">
        <v>9135</v>
      </c>
      <c r="J557" s="101">
        <v>4818</v>
      </c>
      <c r="K557" s="102">
        <v>4317</v>
      </c>
    </row>
    <row r="558" ht="13.95" spans="2:11">
      <c r="B558" s="100" t="s">
        <v>351</v>
      </c>
      <c r="C558" s="101">
        <v>41536</v>
      </c>
      <c r="D558" s="101">
        <v>22004</v>
      </c>
      <c r="E558" s="101">
        <v>19532</v>
      </c>
      <c r="F558" s="101">
        <v>33273</v>
      </c>
      <c r="G558" s="101">
        <v>17002</v>
      </c>
      <c r="H558" s="101">
        <v>16271</v>
      </c>
      <c r="I558" s="101">
        <v>8263</v>
      </c>
      <c r="J558" s="101">
        <v>5002</v>
      </c>
      <c r="K558" s="102">
        <v>3261</v>
      </c>
    </row>
    <row r="559" ht="13.95" spans="2:11">
      <c r="B559" s="100" t="s">
        <v>352</v>
      </c>
      <c r="C559" s="101">
        <v>53173</v>
      </c>
      <c r="D559" s="101">
        <v>27095</v>
      </c>
      <c r="E559" s="101">
        <v>26078</v>
      </c>
      <c r="F559" s="101">
        <v>45115</v>
      </c>
      <c r="G559" s="101">
        <v>22693</v>
      </c>
      <c r="H559" s="101">
        <v>22422</v>
      </c>
      <c r="I559" s="101">
        <v>8058</v>
      </c>
      <c r="J559" s="101">
        <v>4402</v>
      </c>
      <c r="K559" s="102">
        <v>3656</v>
      </c>
    </row>
    <row r="560" ht="13.95" spans="2:11">
      <c r="B560" s="100" t="s">
        <v>355</v>
      </c>
      <c r="C560" s="101">
        <v>85418</v>
      </c>
      <c r="D560" s="101">
        <v>43465</v>
      </c>
      <c r="E560" s="101">
        <v>41953</v>
      </c>
      <c r="F560" s="101">
        <v>70185</v>
      </c>
      <c r="G560" s="101">
        <v>35030</v>
      </c>
      <c r="H560" s="101">
        <v>35155</v>
      </c>
      <c r="I560" s="101">
        <v>15233</v>
      </c>
      <c r="J560" s="101">
        <v>8435</v>
      </c>
      <c r="K560" s="102">
        <v>6798</v>
      </c>
    </row>
    <row r="561" ht="13.95" spans="2:11">
      <c r="B561" s="100" t="s">
        <v>357</v>
      </c>
      <c r="C561" s="101">
        <v>87184</v>
      </c>
      <c r="D561" s="101">
        <v>43269</v>
      </c>
      <c r="E561" s="101">
        <v>43915</v>
      </c>
      <c r="F561" s="101">
        <v>70950</v>
      </c>
      <c r="G561" s="101">
        <v>34560</v>
      </c>
      <c r="H561" s="101">
        <v>36390</v>
      </c>
      <c r="I561" s="101">
        <v>16234</v>
      </c>
      <c r="J561" s="101">
        <v>8709</v>
      </c>
      <c r="K561" s="102">
        <v>7525</v>
      </c>
    </row>
    <row r="562" ht="13.95" spans="2:11">
      <c r="B562" s="100" t="s">
        <v>359</v>
      </c>
      <c r="C562" s="101">
        <v>83017</v>
      </c>
      <c r="D562" s="101">
        <v>40717</v>
      </c>
      <c r="E562" s="101">
        <v>42300</v>
      </c>
      <c r="F562" s="101">
        <v>66091</v>
      </c>
      <c r="G562" s="101">
        <v>31621</v>
      </c>
      <c r="H562" s="101">
        <v>34470</v>
      </c>
      <c r="I562" s="101">
        <v>16926</v>
      </c>
      <c r="J562" s="101">
        <v>9096</v>
      </c>
      <c r="K562" s="102">
        <v>7830</v>
      </c>
    </row>
    <row r="563" ht="13.95" spans="2:11">
      <c r="B563" s="100" t="s">
        <v>360</v>
      </c>
      <c r="C563" s="101">
        <v>71590</v>
      </c>
      <c r="D563" s="101">
        <v>34429</v>
      </c>
      <c r="E563" s="101">
        <v>37161</v>
      </c>
      <c r="F563" s="101">
        <v>55258</v>
      </c>
      <c r="G563" s="101">
        <v>26125</v>
      </c>
      <c r="H563" s="101">
        <v>29133</v>
      </c>
      <c r="I563" s="101">
        <v>16332</v>
      </c>
      <c r="J563" s="101">
        <v>8304</v>
      </c>
      <c r="K563" s="102">
        <v>8028</v>
      </c>
    </row>
    <row r="564" ht="13.95" spans="2:11">
      <c r="B564" s="100" t="s">
        <v>362</v>
      </c>
      <c r="C564" s="101">
        <v>65120</v>
      </c>
      <c r="D564" s="101">
        <v>30439</v>
      </c>
      <c r="E564" s="101">
        <v>34681</v>
      </c>
      <c r="F564" s="101">
        <v>47549</v>
      </c>
      <c r="G564" s="101">
        <v>21969</v>
      </c>
      <c r="H564" s="101">
        <v>25580</v>
      </c>
      <c r="I564" s="101">
        <v>17571</v>
      </c>
      <c r="J564" s="101">
        <v>8470</v>
      </c>
      <c r="K564" s="102">
        <v>9101</v>
      </c>
    </row>
    <row r="565" ht="13.95" spans="2:11">
      <c r="B565" s="100" t="s">
        <v>363</v>
      </c>
      <c r="C565" s="101">
        <v>77846</v>
      </c>
      <c r="D565" s="101">
        <v>34898</v>
      </c>
      <c r="E565" s="101">
        <v>42948</v>
      </c>
      <c r="F565" s="101">
        <v>54554</v>
      </c>
      <c r="G565" s="101">
        <v>23825</v>
      </c>
      <c r="H565" s="101">
        <v>30729</v>
      </c>
      <c r="I565" s="101">
        <v>23292</v>
      </c>
      <c r="J565" s="101">
        <v>11073</v>
      </c>
      <c r="K565" s="102">
        <v>12219</v>
      </c>
    </row>
    <row r="566" ht="13.95" spans="2:11">
      <c r="B566" s="100" t="s">
        <v>364</v>
      </c>
      <c r="C566" s="101">
        <v>80993</v>
      </c>
      <c r="D566" s="101">
        <v>33497</v>
      </c>
      <c r="E566" s="101">
        <v>47496</v>
      </c>
      <c r="F566" s="101">
        <v>56542</v>
      </c>
      <c r="G566" s="101">
        <v>22468</v>
      </c>
      <c r="H566" s="101">
        <v>34074</v>
      </c>
      <c r="I566" s="101">
        <v>24451</v>
      </c>
      <c r="J566" s="101">
        <v>11029</v>
      </c>
      <c r="K566" s="102">
        <v>13422</v>
      </c>
    </row>
    <row r="567" ht="13.95" spans="2:11">
      <c r="B567" s="100" t="s">
        <v>365</v>
      </c>
      <c r="C567" s="101">
        <v>69609</v>
      </c>
      <c r="D567" s="101">
        <v>26327</v>
      </c>
      <c r="E567" s="101">
        <v>43282</v>
      </c>
      <c r="F567" s="101">
        <v>50690</v>
      </c>
      <c r="G567" s="101">
        <v>18501</v>
      </c>
      <c r="H567" s="101">
        <v>32189</v>
      </c>
      <c r="I567" s="101">
        <v>18919</v>
      </c>
      <c r="J567" s="101">
        <v>7826</v>
      </c>
      <c r="K567" s="102">
        <v>11093</v>
      </c>
    </row>
    <row r="568" ht="13.95" spans="2:11">
      <c r="B568" s="100" t="s">
        <v>366</v>
      </c>
      <c r="C568" s="101">
        <v>43377</v>
      </c>
      <c r="D568" s="101">
        <v>14930</v>
      </c>
      <c r="E568" s="101">
        <v>28447</v>
      </c>
      <c r="F568" s="101">
        <v>33115</v>
      </c>
      <c r="G568" s="101">
        <v>10976</v>
      </c>
      <c r="H568" s="101">
        <v>22139</v>
      </c>
      <c r="I568" s="101">
        <v>10262</v>
      </c>
      <c r="J568" s="101">
        <v>3954</v>
      </c>
      <c r="K568" s="102">
        <v>6308</v>
      </c>
    </row>
    <row r="569" ht="13.95" spans="2:11">
      <c r="B569" s="100" t="s">
        <v>367</v>
      </c>
      <c r="C569" s="101">
        <v>22856</v>
      </c>
      <c r="D569" s="101">
        <v>6654</v>
      </c>
      <c r="E569" s="101">
        <v>16202</v>
      </c>
      <c r="F569" s="101">
        <v>17428</v>
      </c>
      <c r="G569" s="101">
        <v>4931</v>
      </c>
      <c r="H569" s="101">
        <v>12497</v>
      </c>
      <c r="I569" s="101">
        <v>5428</v>
      </c>
      <c r="J569" s="101">
        <v>1723</v>
      </c>
      <c r="K569" s="102">
        <v>3705</v>
      </c>
    </row>
    <row r="570" ht="13.95" spans="2:11">
      <c r="B570" s="100" t="s">
        <v>375</v>
      </c>
      <c r="C570" s="101">
        <v>24679</v>
      </c>
      <c r="D570" s="101">
        <v>6123</v>
      </c>
      <c r="E570" s="101">
        <v>18556</v>
      </c>
      <c r="F570" s="101">
        <v>18389</v>
      </c>
      <c r="G570" s="101">
        <v>4396</v>
      </c>
      <c r="H570" s="101">
        <v>13993</v>
      </c>
      <c r="I570" s="101">
        <v>6290</v>
      </c>
      <c r="J570" s="101">
        <v>1727</v>
      </c>
      <c r="K570" s="102">
        <v>4563</v>
      </c>
    </row>
    <row r="571" ht="13.95" spans="2:11">
      <c r="B571" s="100" t="s">
        <v>376</v>
      </c>
      <c r="C571" s="101">
        <v>10350</v>
      </c>
      <c r="D571" s="101">
        <v>2132</v>
      </c>
      <c r="E571" s="101">
        <v>8218</v>
      </c>
      <c r="F571" s="101">
        <v>7311</v>
      </c>
      <c r="G571" s="101">
        <v>1442</v>
      </c>
      <c r="H571" s="101">
        <v>5869</v>
      </c>
      <c r="I571" s="101">
        <v>3039</v>
      </c>
      <c r="J571" s="101">
        <v>690</v>
      </c>
      <c r="K571" s="102">
        <v>2349</v>
      </c>
    </row>
    <row r="572" ht="13.95" spans="2:11">
      <c r="B572" s="100" t="s">
        <v>377</v>
      </c>
      <c r="C572" s="101">
        <v>3307</v>
      </c>
      <c r="D572" s="101">
        <v>575</v>
      </c>
      <c r="E572" s="101">
        <v>2732</v>
      </c>
      <c r="F572" s="101">
        <v>2377</v>
      </c>
      <c r="G572" s="101">
        <v>377</v>
      </c>
      <c r="H572" s="101">
        <v>2000</v>
      </c>
      <c r="I572" s="101">
        <v>930</v>
      </c>
      <c r="J572" s="101">
        <v>198</v>
      </c>
      <c r="K572" s="102">
        <v>732</v>
      </c>
    </row>
    <row r="573" ht="13.95" spans="2:11">
      <c r="B573" s="100" t="s">
        <v>378</v>
      </c>
      <c r="C573" s="101">
        <v>435</v>
      </c>
      <c r="D573" s="101">
        <v>70</v>
      </c>
      <c r="E573" s="101">
        <v>365</v>
      </c>
      <c r="F573" s="101">
        <v>356</v>
      </c>
      <c r="G573" s="101">
        <v>43</v>
      </c>
      <c r="H573" s="101">
        <v>313</v>
      </c>
      <c r="I573" s="101">
        <v>79</v>
      </c>
      <c r="J573" s="101">
        <v>27</v>
      </c>
      <c r="K573" s="102">
        <v>52</v>
      </c>
    </row>
    <row r="574" ht="13.95" spans="2:11">
      <c r="B574" s="100" t="s">
        <v>379</v>
      </c>
      <c r="C574" s="101">
        <v>33</v>
      </c>
      <c r="D574" s="101">
        <v>11</v>
      </c>
      <c r="E574" s="101">
        <v>22</v>
      </c>
      <c r="F574" s="101">
        <v>23</v>
      </c>
      <c r="G574" s="101">
        <v>2</v>
      </c>
      <c r="H574" s="101">
        <v>21</v>
      </c>
      <c r="I574" s="101">
        <v>10</v>
      </c>
      <c r="J574" s="101">
        <v>9</v>
      </c>
      <c r="K574" s="102">
        <v>1</v>
      </c>
    </row>
    <row r="575" ht="13.95" spans="2:11">
      <c r="B575" s="100" t="s">
        <v>380</v>
      </c>
      <c r="C575" s="97"/>
      <c r="D575" s="97"/>
      <c r="E575" s="97"/>
      <c r="F575" s="97"/>
      <c r="G575" s="97"/>
      <c r="H575" s="97"/>
      <c r="I575" s="97"/>
      <c r="J575" s="97"/>
      <c r="K575" s="98"/>
    </row>
    <row r="576" ht="13.95" spans="2:11">
      <c r="B576" s="100" t="s">
        <v>320</v>
      </c>
      <c r="C576" s="101">
        <v>194610</v>
      </c>
      <c r="D576" s="101">
        <v>100911</v>
      </c>
      <c r="E576" s="101">
        <v>93699</v>
      </c>
      <c r="F576" s="101">
        <v>152466</v>
      </c>
      <c r="G576" s="101">
        <v>78312</v>
      </c>
      <c r="H576" s="101">
        <v>74154</v>
      </c>
      <c r="I576" s="101">
        <v>42144</v>
      </c>
      <c r="J576" s="101">
        <v>22599</v>
      </c>
      <c r="K576" s="102">
        <v>19545</v>
      </c>
    </row>
    <row r="577" ht="13.95" spans="2:11">
      <c r="B577" s="100" t="s">
        <v>381</v>
      </c>
      <c r="C577" s="101">
        <v>576810</v>
      </c>
      <c r="D577" s="101">
        <v>305582</v>
      </c>
      <c r="E577" s="101">
        <v>271228</v>
      </c>
      <c r="F577" s="101">
        <v>456159</v>
      </c>
      <c r="G577" s="101">
        <v>236215</v>
      </c>
      <c r="H577" s="101">
        <v>219944</v>
      </c>
      <c r="I577" s="101">
        <v>120651</v>
      </c>
      <c r="J577" s="101">
        <v>69367</v>
      </c>
      <c r="K577" s="102">
        <v>51284</v>
      </c>
    </row>
    <row r="578" ht="13.95" spans="2:11">
      <c r="B578" s="100" t="s">
        <v>382</v>
      </c>
      <c r="C578" s="105">
        <v>284040</v>
      </c>
      <c r="D578" s="105">
        <v>83255</v>
      </c>
      <c r="E578" s="105">
        <v>200785</v>
      </c>
      <c r="F578" s="105">
        <v>206869</v>
      </c>
      <c r="G578" s="105">
        <v>58433</v>
      </c>
      <c r="H578" s="105">
        <v>148436</v>
      </c>
      <c r="I578" s="105">
        <v>77171</v>
      </c>
      <c r="J578" s="105">
        <v>24822</v>
      </c>
      <c r="K578" s="106">
        <v>52349</v>
      </c>
    </row>
    <row r="579" ht="13.95" spans="2:11">
      <c r="B579" s="107" t="s">
        <v>388</v>
      </c>
      <c r="C579" s="107"/>
      <c r="D579" s="107"/>
      <c r="E579" s="107"/>
      <c r="F579" s="107"/>
      <c r="G579" s="107"/>
      <c r="H579" s="107"/>
      <c r="I579" s="107"/>
      <c r="J579" s="107"/>
      <c r="K579" s="107"/>
    </row>
    <row r="580" ht="13.95" spans="2:11">
      <c r="B580" s="107" t="s">
        <v>389</v>
      </c>
      <c r="C580" s="107"/>
      <c r="D580" s="107"/>
      <c r="E580" s="107"/>
      <c r="F580" s="107"/>
      <c r="G580" s="107"/>
      <c r="H580" s="107"/>
      <c r="I580" s="107"/>
      <c r="J580" s="107"/>
      <c r="K580" s="107"/>
    </row>
    <row r="583" ht="13.95"/>
    <row r="584" spans="2:11">
      <c r="B584" s="78" t="s">
        <v>390</v>
      </c>
      <c r="C584" s="79"/>
      <c r="D584" s="79"/>
      <c r="E584" s="79"/>
      <c r="F584" s="79"/>
      <c r="G584" s="79"/>
      <c r="H584" s="79"/>
      <c r="I584" s="79"/>
      <c r="J584" s="79"/>
      <c r="K584" s="80"/>
    </row>
    <row r="585" ht="13.95" spans="2:11">
      <c r="B585" s="81" t="s">
        <v>371</v>
      </c>
      <c r="C585" s="82"/>
      <c r="D585" s="82"/>
      <c r="E585" s="82"/>
      <c r="F585" s="82"/>
      <c r="G585" s="82"/>
      <c r="H585" s="82"/>
      <c r="I585" s="82"/>
      <c r="J585" s="82"/>
      <c r="K585" s="83"/>
    </row>
    <row r="586" ht="13.95" spans="2:11">
      <c r="B586" s="84" t="s">
        <v>187</v>
      </c>
      <c r="C586" s="84"/>
      <c r="D586" s="84"/>
      <c r="E586" s="84"/>
      <c r="F586" s="84"/>
      <c r="G586" s="84"/>
      <c r="H586" s="84"/>
      <c r="I586" s="84"/>
      <c r="J586" s="84"/>
      <c r="K586" s="84"/>
    </row>
    <row r="587" ht="14.7" spans="2:11">
      <c r="B587" s="85" t="s">
        <v>334</v>
      </c>
      <c r="C587" s="86" t="s">
        <v>335</v>
      </c>
      <c r="D587" s="86"/>
      <c r="E587" s="86"/>
      <c r="F587" s="87" t="s">
        <v>212</v>
      </c>
      <c r="G587" s="87"/>
      <c r="H587" s="87"/>
      <c r="I587" s="88" t="s">
        <v>213</v>
      </c>
      <c r="J587" s="88"/>
      <c r="K587" s="88"/>
    </row>
    <row r="588" ht="14.7" spans="2:11">
      <c r="B588" s="85"/>
      <c r="C588" s="89" t="s">
        <v>215</v>
      </c>
      <c r="D588" s="90" t="s">
        <v>215</v>
      </c>
      <c r="E588" s="90" t="s">
        <v>216</v>
      </c>
      <c r="F588" s="89" t="s">
        <v>215</v>
      </c>
      <c r="G588" s="90" t="s">
        <v>215</v>
      </c>
      <c r="H588" s="90" t="s">
        <v>216</v>
      </c>
      <c r="I588" s="89" t="s">
        <v>215</v>
      </c>
      <c r="J588" s="90" t="s">
        <v>215</v>
      </c>
      <c r="K588" s="91" t="s">
        <v>216</v>
      </c>
    </row>
    <row r="589" ht="27.9" spans="2:11">
      <c r="B589" s="85"/>
      <c r="C589" s="92" t="s">
        <v>337</v>
      </c>
      <c r="D589" s="90"/>
      <c r="E589" s="90"/>
      <c r="F589" s="92" t="s">
        <v>337</v>
      </c>
      <c r="G589" s="90"/>
      <c r="H589" s="90"/>
      <c r="I589" s="92" t="s">
        <v>337</v>
      </c>
      <c r="J589" s="90"/>
      <c r="K589" s="91"/>
    </row>
    <row r="590" ht="14.7" spans="2:11">
      <c r="B590" s="93" t="s">
        <v>372</v>
      </c>
      <c r="C590" s="94">
        <v>1037282</v>
      </c>
      <c r="D590" s="94">
        <v>480455</v>
      </c>
      <c r="E590" s="94">
        <v>556827</v>
      </c>
      <c r="F590" s="94">
        <v>802127</v>
      </c>
      <c r="G590" s="94">
        <v>366294</v>
      </c>
      <c r="H590" s="94">
        <v>435833</v>
      </c>
      <c r="I590" s="94">
        <v>235155</v>
      </c>
      <c r="J590" s="94">
        <v>114161</v>
      </c>
      <c r="K590" s="95">
        <v>120994</v>
      </c>
    </row>
    <row r="591" ht="13.95" spans="2:11">
      <c r="B591" s="96" t="s">
        <v>373</v>
      </c>
      <c r="C591" s="97"/>
      <c r="D591" s="97"/>
      <c r="E591" s="97"/>
      <c r="F591" s="97"/>
      <c r="G591" s="97"/>
      <c r="H591" s="97"/>
      <c r="I591" s="97"/>
      <c r="J591" s="97"/>
      <c r="K591" s="98"/>
    </row>
    <row r="592" ht="13.95" spans="2:11">
      <c r="B592" s="99" t="s">
        <v>374</v>
      </c>
      <c r="C592" s="97"/>
      <c r="D592" s="97"/>
      <c r="E592" s="97"/>
      <c r="F592" s="97"/>
      <c r="G592" s="97"/>
      <c r="H592" s="97"/>
      <c r="I592" s="97"/>
      <c r="J592" s="97"/>
      <c r="K592" s="98"/>
    </row>
    <row r="593" ht="13.95" spans="2:11">
      <c r="B593" s="100" t="s">
        <v>340</v>
      </c>
      <c r="C593" s="101">
        <v>52004</v>
      </c>
      <c r="D593" s="101">
        <v>26988</v>
      </c>
      <c r="E593" s="101">
        <v>25016</v>
      </c>
      <c r="F593" s="101">
        <v>41498</v>
      </c>
      <c r="G593" s="101">
        <v>21115</v>
      </c>
      <c r="H593" s="101">
        <v>20383</v>
      </c>
      <c r="I593" s="101">
        <v>10506</v>
      </c>
      <c r="J593" s="101">
        <v>5873</v>
      </c>
      <c r="K593" s="102">
        <v>4633</v>
      </c>
    </row>
    <row r="594" ht="13.95" spans="2:11">
      <c r="B594" s="108">
        <v>46270</v>
      </c>
      <c r="C594" s="101">
        <v>64829</v>
      </c>
      <c r="D594" s="101">
        <v>34192</v>
      </c>
      <c r="E594" s="101">
        <v>30637</v>
      </c>
      <c r="F594" s="101">
        <v>50747</v>
      </c>
      <c r="G594" s="101">
        <v>26225</v>
      </c>
      <c r="H594" s="101">
        <v>24522</v>
      </c>
      <c r="I594" s="101">
        <v>14082</v>
      </c>
      <c r="J594" s="101">
        <v>7967</v>
      </c>
      <c r="K594" s="102">
        <v>6115</v>
      </c>
    </row>
    <row r="595" ht="13.95" spans="2:11">
      <c r="B595" s="109">
        <v>41913</v>
      </c>
      <c r="C595" s="101">
        <v>61394</v>
      </c>
      <c r="D595" s="101">
        <v>31272</v>
      </c>
      <c r="E595" s="101">
        <v>30122</v>
      </c>
      <c r="F595" s="101">
        <v>47728</v>
      </c>
      <c r="G595" s="101">
        <v>24386</v>
      </c>
      <c r="H595" s="101">
        <v>23342</v>
      </c>
      <c r="I595" s="101">
        <v>13666</v>
      </c>
      <c r="J595" s="101">
        <v>6886</v>
      </c>
      <c r="K595" s="102">
        <v>6780</v>
      </c>
    </row>
    <row r="596" ht="13.95" spans="2:11">
      <c r="B596" s="100" t="s">
        <v>350</v>
      </c>
      <c r="C596" s="101">
        <v>54133</v>
      </c>
      <c r="D596" s="101">
        <v>29340</v>
      </c>
      <c r="E596" s="101">
        <v>24793</v>
      </c>
      <c r="F596" s="101">
        <v>45150</v>
      </c>
      <c r="G596" s="101">
        <v>24572</v>
      </c>
      <c r="H596" s="101">
        <v>20578</v>
      </c>
      <c r="I596" s="101">
        <v>8983</v>
      </c>
      <c r="J596" s="101">
        <v>4768</v>
      </c>
      <c r="K596" s="102">
        <v>4215</v>
      </c>
    </row>
    <row r="597" ht="13.95" spans="2:11">
      <c r="B597" s="100" t="s">
        <v>351</v>
      </c>
      <c r="C597" s="101">
        <v>41199</v>
      </c>
      <c r="D597" s="101">
        <v>22185</v>
      </c>
      <c r="E597" s="101">
        <v>19014</v>
      </c>
      <c r="F597" s="101">
        <v>33481</v>
      </c>
      <c r="G597" s="101">
        <v>17348</v>
      </c>
      <c r="H597" s="101">
        <v>16133</v>
      </c>
      <c r="I597" s="101">
        <v>7718</v>
      </c>
      <c r="J597" s="101">
        <v>4837</v>
      </c>
      <c r="K597" s="102">
        <v>2881</v>
      </c>
    </row>
    <row r="598" ht="13.95" spans="2:11">
      <c r="B598" s="100" t="s">
        <v>352</v>
      </c>
      <c r="C598" s="101">
        <v>47451</v>
      </c>
      <c r="D598" s="101">
        <v>23956</v>
      </c>
      <c r="E598" s="101">
        <v>23495</v>
      </c>
      <c r="F598" s="101">
        <v>39855</v>
      </c>
      <c r="G598" s="101">
        <v>19965</v>
      </c>
      <c r="H598" s="101">
        <v>19890</v>
      </c>
      <c r="I598" s="101">
        <v>7596</v>
      </c>
      <c r="J598" s="101">
        <v>3991</v>
      </c>
      <c r="K598" s="102">
        <v>3605</v>
      </c>
    </row>
    <row r="599" ht="13.95" spans="2:11">
      <c r="B599" s="100" t="s">
        <v>355</v>
      </c>
      <c r="C599" s="101">
        <v>80999</v>
      </c>
      <c r="D599" s="101">
        <v>40991</v>
      </c>
      <c r="E599" s="101">
        <v>40008</v>
      </c>
      <c r="F599" s="101">
        <v>66462</v>
      </c>
      <c r="G599" s="101">
        <v>33003</v>
      </c>
      <c r="H599" s="101">
        <v>33459</v>
      </c>
      <c r="I599" s="101">
        <v>14537</v>
      </c>
      <c r="J599" s="101">
        <v>7988</v>
      </c>
      <c r="K599" s="102">
        <v>6549</v>
      </c>
    </row>
    <row r="600" ht="13.95" spans="2:11">
      <c r="B600" s="100" t="s">
        <v>357</v>
      </c>
      <c r="C600" s="101">
        <v>85959</v>
      </c>
      <c r="D600" s="101">
        <v>42713</v>
      </c>
      <c r="E600" s="101">
        <v>43246</v>
      </c>
      <c r="F600" s="101">
        <v>70105</v>
      </c>
      <c r="G600" s="101">
        <v>34297</v>
      </c>
      <c r="H600" s="101">
        <v>35808</v>
      </c>
      <c r="I600" s="101">
        <v>15854</v>
      </c>
      <c r="J600" s="101">
        <v>8416</v>
      </c>
      <c r="K600" s="102">
        <v>7438</v>
      </c>
    </row>
    <row r="601" ht="13.95" spans="2:11">
      <c r="B601" s="100" t="s">
        <v>359</v>
      </c>
      <c r="C601" s="101">
        <v>82280</v>
      </c>
      <c r="D601" s="101">
        <v>40123</v>
      </c>
      <c r="E601" s="101">
        <v>42157</v>
      </c>
      <c r="F601" s="101">
        <v>65644</v>
      </c>
      <c r="G601" s="101">
        <v>31268</v>
      </c>
      <c r="H601" s="101">
        <v>34376</v>
      </c>
      <c r="I601" s="101">
        <v>16636</v>
      </c>
      <c r="J601" s="101">
        <v>8855</v>
      </c>
      <c r="K601" s="102">
        <v>7781</v>
      </c>
    </row>
    <row r="602" ht="13.95" spans="2:11">
      <c r="B602" s="100" t="s">
        <v>360</v>
      </c>
      <c r="C602" s="101">
        <v>73233</v>
      </c>
      <c r="D602" s="101">
        <v>35132</v>
      </c>
      <c r="E602" s="101">
        <v>38101</v>
      </c>
      <c r="F602" s="101">
        <v>56840</v>
      </c>
      <c r="G602" s="101">
        <v>26780</v>
      </c>
      <c r="H602" s="101">
        <v>30060</v>
      </c>
      <c r="I602" s="101">
        <v>16393</v>
      </c>
      <c r="J602" s="101">
        <v>8352</v>
      </c>
      <c r="K602" s="102">
        <v>8041</v>
      </c>
    </row>
    <row r="603" ht="13.95" spans="2:11">
      <c r="B603" s="100" t="s">
        <v>362</v>
      </c>
      <c r="C603" s="101">
        <v>63182</v>
      </c>
      <c r="D603" s="101">
        <v>29488</v>
      </c>
      <c r="E603" s="101">
        <v>33694</v>
      </c>
      <c r="F603" s="101">
        <v>46502</v>
      </c>
      <c r="G603" s="101">
        <v>21399</v>
      </c>
      <c r="H603" s="101">
        <v>25103</v>
      </c>
      <c r="I603" s="101">
        <v>16680</v>
      </c>
      <c r="J603" s="101">
        <v>8089</v>
      </c>
      <c r="K603" s="102">
        <v>8591</v>
      </c>
    </row>
    <row r="604" ht="13.95" spans="2:11">
      <c r="B604" s="100" t="s">
        <v>363</v>
      </c>
      <c r="C604" s="101">
        <v>72514</v>
      </c>
      <c r="D604" s="101">
        <v>32520</v>
      </c>
      <c r="E604" s="101">
        <v>39994</v>
      </c>
      <c r="F604" s="101">
        <v>51025</v>
      </c>
      <c r="G604" s="101">
        <v>22364</v>
      </c>
      <c r="H604" s="101">
        <v>28661</v>
      </c>
      <c r="I604" s="101">
        <v>21489</v>
      </c>
      <c r="J604" s="101">
        <v>10156</v>
      </c>
      <c r="K604" s="102">
        <v>11333</v>
      </c>
    </row>
    <row r="605" ht="13.95" spans="2:11">
      <c r="B605" s="100" t="s">
        <v>364</v>
      </c>
      <c r="C605" s="101">
        <v>79468</v>
      </c>
      <c r="D605" s="101">
        <v>33056</v>
      </c>
      <c r="E605" s="101">
        <v>46412</v>
      </c>
      <c r="F605" s="101">
        <v>55159</v>
      </c>
      <c r="G605" s="101">
        <v>22130</v>
      </c>
      <c r="H605" s="101">
        <v>33029</v>
      </c>
      <c r="I605" s="101">
        <v>24309</v>
      </c>
      <c r="J605" s="101">
        <v>10926</v>
      </c>
      <c r="K605" s="102">
        <v>13383</v>
      </c>
    </row>
    <row r="606" ht="13.95" spans="2:11">
      <c r="B606" s="100" t="s">
        <v>365</v>
      </c>
      <c r="C606" s="101">
        <v>71028</v>
      </c>
      <c r="D606" s="101">
        <v>26894</v>
      </c>
      <c r="E606" s="101">
        <v>44134</v>
      </c>
      <c r="F606" s="101">
        <v>51054</v>
      </c>
      <c r="G606" s="101">
        <v>18593</v>
      </c>
      <c r="H606" s="101">
        <v>32461</v>
      </c>
      <c r="I606" s="101">
        <v>19974</v>
      </c>
      <c r="J606" s="101">
        <v>8301</v>
      </c>
      <c r="K606" s="102">
        <v>11673</v>
      </c>
    </row>
    <row r="607" ht="13.95" spans="2:11">
      <c r="B607" s="100" t="s">
        <v>366</v>
      </c>
      <c r="C607" s="101">
        <v>48812</v>
      </c>
      <c r="D607" s="101">
        <v>16802</v>
      </c>
      <c r="E607" s="101">
        <v>32010</v>
      </c>
      <c r="F607" s="101">
        <v>36867</v>
      </c>
      <c r="G607" s="101">
        <v>12172</v>
      </c>
      <c r="H607" s="101">
        <v>24695</v>
      </c>
      <c r="I607" s="101">
        <v>11945</v>
      </c>
      <c r="J607" s="101">
        <v>4630</v>
      </c>
      <c r="K607" s="102">
        <v>7315</v>
      </c>
    </row>
    <row r="608" ht="13.95" spans="2:11">
      <c r="B608" s="100" t="s">
        <v>367</v>
      </c>
      <c r="C608" s="101">
        <v>20021</v>
      </c>
      <c r="D608" s="101">
        <v>5877</v>
      </c>
      <c r="E608" s="101">
        <v>14144</v>
      </c>
      <c r="F608" s="101">
        <v>15505</v>
      </c>
      <c r="G608" s="101">
        <v>4449</v>
      </c>
      <c r="H608" s="101">
        <v>11056</v>
      </c>
      <c r="I608" s="101">
        <v>4516</v>
      </c>
      <c r="J608" s="101">
        <v>1428</v>
      </c>
      <c r="K608" s="102">
        <v>3088</v>
      </c>
    </row>
    <row r="609" ht="13.95" spans="2:11">
      <c r="B609" s="100" t="s">
        <v>375</v>
      </c>
      <c r="C609" s="101">
        <v>24848</v>
      </c>
      <c r="D609" s="101">
        <v>6147</v>
      </c>
      <c r="E609" s="101">
        <v>18701</v>
      </c>
      <c r="F609" s="101">
        <v>18616</v>
      </c>
      <c r="G609" s="101">
        <v>4387</v>
      </c>
      <c r="H609" s="101">
        <v>14229</v>
      </c>
      <c r="I609" s="101">
        <v>6232</v>
      </c>
      <c r="J609" s="101">
        <v>1760</v>
      </c>
      <c r="K609" s="102">
        <v>4472</v>
      </c>
    </row>
    <row r="610" ht="13.95" spans="2:11">
      <c r="B610" s="100" t="s">
        <v>376</v>
      </c>
      <c r="C610" s="101">
        <v>10523</v>
      </c>
      <c r="D610" s="101">
        <v>2119</v>
      </c>
      <c r="E610" s="101">
        <v>8404</v>
      </c>
      <c r="F610" s="101">
        <v>7479</v>
      </c>
      <c r="G610" s="101">
        <v>1445</v>
      </c>
      <c r="H610" s="101">
        <v>6034</v>
      </c>
      <c r="I610" s="101">
        <v>3044</v>
      </c>
      <c r="J610" s="101">
        <v>674</v>
      </c>
      <c r="K610" s="102">
        <v>2370</v>
      </c>
    </row>
    <row r="611" ht="13.95" spans="2:11">
      <c r="B611" s="100" t="s">
        <v>377</v>
      </c>
      <c r="C611" s="101">
        <v>2929</v>
      </c>
      <c r="D611" s="101">
        <v>576</v>
      </c>
      <c r="E611" s="101">
        <v>2353</v>
      </c>
      <c r="F611" s="101">
        <v>2051</v>
      </c>
      <c r="G611" s="101">
        <v>353</v>
      </c>
      <c r="H611" s="101">
        <v>1698</v>
      </c>
      <c r="I611" s="101">
        <v>878</v>
      </c>
      <c r="J611" s="101">
        <v>223</v>
      </c>
      <c r="K611" s="102">
        <v>655</v>
      </c>
    </row>
    <row r="612" ht="13.95" spans="2:11">
      <c r="B612" s="100" t="s">
        <v>378</v>
      </c>
      <c r="C612" s="101">
        <v>452</v>
      </c>
      <c r="D612" s="101">
        <v>75</v>
      </c>
      <c r="E612" s="101">
        <v>377</v>
      </c>
      <c r="F612" s="101">
        <v>346</v>
      </c>
      <c r="G612" s="101">
        <v>42</v>
      </c>
      <c r="H612" s="101">
        <v>304</v>
      </c>
      <c r="I612" s="101">
        <v>106</v>
      </c>
      <c r="J612" s="101">
        <v>33</v>
      </c>
      <c r="K612" s="102">
        <v>73</v>
      </c>
    </row>
    <row r="613" ht="13.95" spans="2:11">
      <c r="B613" s="100" t="s">
        <v>379</v>
      </c>
      <c r="C613" s="101">
        <v>24</v>
      </c>
      <c r="D613" s="101">
        <v>9</v>
      </c>
      <c r="E613" s="101">
        <v>15</v>
      </c>
      <c r="F613" s="101">
        <v>13</v>
      </c>
      <c r="G613" s="101">
        <v>1</v>
      </c>
      <c r="H613" s="101">
        <v>12</v>
      </c>
      <c r="I613" s="101">
        <v>11</v>
      </c>
      <c r="J613" s="101">
        <v>8</v>
      </c>
      <c r="K613" s="102">
        <v>3</v>
      </c>
    </row>
    <row r="614" ht="13.95" spans="2:11">
      <c r="B614" s="100" t="s">
        <v>380</v>
      </c>
      <c r="C614" s="97"/>
      <c r="D614" s="97"/>
      <c r="E614" s="97"/>
      <c r="F614" s="97"/>
      <c r="G614" s="97"/>
      <c r="H614" s="97"/>
      <c r="I614" s="97"/>
      <c r="J614" s="97"/>
      <c r="K614" s="98"/>
    </row>
    <row r="615" ht="13.95" spans="2:11">
      <c r="B615" s="100" t="s">
        <v>320</v>
      </c>
      <c r="C615" s="101">
        <v>189840</v>
      </c>
      <c r="D615" s="101">
        <v>98566</v>
      </c>
      <c r="E615" s="101">
        <v>91274</v>
      </c>
      <c r="F615" s="101">
        <v>149122</v>
      </c>
      <c r="G615" s="101">
        <v>76522</v>
      </c>
      <c r="H615" s="101">
        <v>72600</v>
      </c>
      <c r="I615" s="101">
        <v>40718</v>
      </c>
      <c r="J615" s="101">
        <v>22044</v>
      </c>
      <c r="K615" s="102">
        <v>18674</v>
      </c>
    </row>
    <row r="616" ht="13.95" spans="2:11">
      <c r="B616" s="100" t="s">
        <v>381</v>
      </c>
      <c r="C616" s="101">
        <v>563950</v>
      </c>
      <c r="D616" s="101">
        <v>297633</v>
      </c>
      <c r="E616" s="101">
        <v>266317</v>
      </c>
      <c r="F616" s="101">
        <v>447440</v>
      </c>
      <c r="G616" s="101">
        <v>231097</v>
      </c>
      <c r="H616" s="101">
        <v>216343</v>
      </c>
      <c r="I616" s="101">
        <v>116510</v>
      </c>
      <c r="J616" s="101">
        <v>66536</v>
      </c>
      <c r="K616" s="102">
        <v>49974</v>
      </c>
    </row>
    <row r="617" ht="13.95" spans="2:11">
      <c r="B617" s="104" t="s">
        <v>382</v>
      </c>
      <c r="C617" s="105">
        <v>283492</v>
      </c>
      <c r="D617" s="105">
        <v>84256</v>
      </c>
      <c r="E617" s="105">
        <v>199236</v>
      </c>
      <c r="F617" s="105">
        <v>205565</v>
      </c>
      <c r="G617" s="105">
        <v>58675</v>
      </c>
      <c r="H617" s="105">
        <v>146890</v>
      </c>
      <c r="I617" s="105">
        <v>77927</v>
      </c>
      <c r="J617" s="105">
        <v>25581</v>
      </c>
      <c r="K617" s="106">
        <v>52346</v>
      </c>
    </row>
    <row r="618" ht="13.95"/>
    <row r="619" ht="13.95"/>
    <row r="620" spans="2:11">
      <c r="B620" s="78" t="s">
        <v>391</v>
      </c>
      <c r="C620" s="79"/>
      <c r="D620" s="79"/>
      <c r="E620" s="79"/>
      <c r="F620" s="79"/>
      <c r="G620" s="79"/>
      <c r="H620" s="79"/>
      <c r="I620" s="79"/>
      <c r="J620" s="79"/>
      <c r="K620" s="80"/>
    </row>
    <row r="621" ht="13.95" spans="2:11">
      <c r="B621" s="81" t="s">
        <v>371</v>
      </c>
      <c r="C621" s="82"/>
      <c r="D621" s="82"/>
      <c r="E621" s="82"/>
      <c r="F621" s="82"/>
      <c r="G621" s="82"/>
      <c r="H621" s="82"/>
      <c r="I621" s="82"/>
      <c r="J621" s="82"/>
      <c r="K621" s="83"/>
    </row>
    <row r="622" ht="13.95" spans="2:11">
      <c r="B622" s="84" t="s">
        <v>187</v>
      </c>
      <c r="C622" s="84"/>
      <c r="D622" s="84"/>
      <c r="E622" s="84"/>
      <c r="F622" s="84"/>
      <c r="G622" s="84"/>
      <c r="H622" s="84"/>
      <c r="I622" s="84"/>
      <c r="J622" s="84"/>
      <c r="K622" s="84"/>
    </row>
    <row r="623" ht="14.7" spans="2:11">
      <c r="B623" s="85" t="s">
        <v>334</v>
      </c>
      <c r="C623" s="86" t="s">
        <v>335</v>
      </c>
      <c r="D623" s="86"/>
      <c r="E623" s="86"/>
      <c r="F623" s="87" t="s">
        <v>212</v>
      </c>
      <c r="G623" s="87"/>
      <c r="H623" s="87"/>
      <c r="I623" s="88" t="s">
        <v>213</v>
      </c>
      <c r="J623" s="88"/>
      <c r="K623" s="88"/>
    </row>
    <row r="624" ht="14.7" spans="2:11">
      <c r="B624" s="85"/>
      <c r="C624" s="89" t="s">
        <v>215</v>
      </c>
      <c r="D624" s="90" t="s">
        <v>215</v>
      </c>
      <c r="E624" s="90" t="s">
        <v>216</v>
      </c>
      <c r="F624" s="89" t="s">
        <v>215</v>
      </c>
      <c r="G624" s="90" t="s">
        <v>215</v>
      </c>
      <c r="H624" s="90" t="s">
        <v>216</v>
      </c>
      <c r="I624" s="89" t="s">
        <v>215</v>
      </c>
      <c r="J624" s="90" t="s">
        <v>215</v>
      </c>
      <c r="K624" s="91" t="s">
        <v>216</v>
      </c>
    </row>
    <row r="625" ht="27.9" spans="2:11">
      <c r="B625" s="85"/>
      <c r="C625" s="92" t="s">
        <v>337</v>
      </c>
      <c r="D625" s="90"/>
      <c r="E625" s="90"/>
      <c r="F625" s="92" t="s">
        <v>337</v>
      </c>
      <c r="G625" s="90"/>
      <c r="H625" s="90"/>
      <c r="I625" s="92" t="s">
        <v>337</v>
      </c>
      <c r="J625" s="90"/>
      <c r="K625" s="91"/>
    </row>
    <row r="626" ht="14.7" spans="2:11">
      <c r="B626" s="93" t="s">
        <v>372</v>
      </c>
      <c r="C626" s="94">
        <v>1016030</v>
      </c>
      <c r="D626" s="94">
        <v>470354</v>
      </c>
      <c r="E626" s="94">
        <v>545676</v>
      </c>
      <c r="F626" s="94">
        <v>787049</v>
      </c>
      <c r="G626" s="94">
        <v>359422</v>
      </c>
      <c r="H626" s="94">
        <v>427627</v>
      </c>
      <c r="I626" s="94">
        <v>228981</v>
      </c>
      <c r="J626" s="94">
        <v>110932</v>
      </c>
      <c r="K626" s="95">
        <v>118049</v>
      </c>
    </row>
    <row r="627" ht="13.95" spans="2:11">
      <c r="B627" s="96" t="s">
        <v>373</v>
      </c>
      <c r="C627" s="97"/>
      <c r="D627" s="97"/>
      <c r="E627" s="97"/>
      <c r="F627" s="97"/>
      <c r="G627" s="97"/>
      <c r="H627" s="97"/>
      <c r="I627" s="97"/>
      <c r="J627" s="97"/>
      <c r="K627" s="98"/>
    </row>
    <row r="628" ht="13.95" spans="2:11">
      <c r="B628" s="99" t="s">
        <v>374</v>
      </c>
      <c r="C628" s="97"/>
      <c r="D628" s="97"/>
      <c r="E628" s="97"/>
      <c r="F628" s="97"/>
      <c r="G628" s="97"/>
      <c r="H628" s="97"/>
      <c r="I628" s="97"/>
      <c r="J628" s="97"/>
      <c r="K628" s="98"/>
    </row>
    <row r="629" ht="13.95" spans="2:11">
      <c r="B629" s="100" t="s">
        <v>340</v>
      </c>
      <c r="C629" s="101">
        <v>47482</v>
      </c>
      <c r="D629" s="101">
        <v>24657</v>
      </c>
      <c r="E629" s="101">
        <v>22825</v>
      </c>
      <c r="F629" s="101">
        <v>37941</v>
      </c>
      <c r="G629" s="101">
        <v>19296</v>
      </c>
      <c r="H629" s="101">
        <v>18645</v>
      </c>
      <c r="I629" s="101">
        <v>9541</v>
      </c>
      <c r="J629" s="101">
        <v>5361</v>
      </c>
      <c r="K629" s="102">
        <v>4180</v>
      </c>
    </row>
    <row r="630" ht="13.95" spans="2:11">
      <c r="B630" s="108">
        <v>46270</v>
      </c>
      <c r="C630" s="101">
        <v>64600</v>
      </c>
      <c r="D630" s="101">
        <v>34067</v>
      </c>
      <c r="E630" s="101">
        <v>30533</v>
      </c>
      <c r="F630" s="101">
        <v>51195</v>
      </c>
      <c r="G630" s="101">
        <v>26482</v>
      </c>
      <c r="H630" s="101">
        <v>24713</v>
      </c>
      <c r="I630" s="101">
        <v>13405</v>
      </c>
      <c r="J630" s="101">
        <v>7585</v>
      </c>
      <c r="K630" s="102">
        <v>5820</v>
      </c>
    </row>
    <row r="631" ht="13.95" spans="2:11">
      <c r="B631" s="109">
        <v>41913</v>
      </c>
      <c r="C631" s="101">
        <v>62063</v>
      </c>
      <c r="D631" s="101">
        <v>31735</v>
      </c>
      <c r="E631" s="101">
        <v>30328</v>
      </c>
      <c r="F631" s="101">
        <v>48189</v>
      </c>
      <c r="G631" s="101">
        <v>24622</v>
      </c>
      <c r="H631" s="101">
        <v>23567</v>
      </c>
      <c r="I631" s="101">
        <v>13874</v>
      </c>
      <c r="J631" s="101">
        <v>7113</v>
      </c>
      <c r="K631" s="102">
        <v>6761</v>
      </c>
    </row>
    <row r="632" ht="13.95" spans="2:11">
      <c r="B632" s="100" t="s">
        <v>350</v>
      </c>
      <c r="C632" s="101">
        <v>54498</v>
      </c>
      <c r="D632" s="101">
        <v>29000</v>
      </c>
      <c r="E632" s="101">
        <v>25498</v>
      </c>
      <c r="F632" s="101">
        <v>45533</v>
      </c>
      <c r="G632" s="101">
        <v>24181</v>
      </c>
      <c r="H632" s="101">
        <v>21352</v>
      </c>
      <c r="I632" s="101">
        <v>8965</v>
      </c>
      <c r="J632" s="101">
        <v>4819</v>
      </c>
      <c r="K632" s="102">
        <v>4146</v>
      </c>
    </row>
    <row r="633" ht="13.95" spans="2:11">
      <c r="B633" s="100" t="s">
        <v>351</v>
      </c>
      <c r="C633" s="101">
        <v>42356</v>
      </c>
      <c r="D633" s="101">
        <v>23546</v>
      </c>
      <c r="E633" s="101">
        <v>18810</v>
      </c>
      <c r="F633" s="101">
        <v>34770</v>
      </c>
      <c r="G633" s="101">
        <v>18782</v>
      </c>
      <c r="H633" s="101">
        <v>15988</v>
      </c>
      <c r="I633" s="101">
        <v>7586</v>
      </c>
      <c r="J633" s="101">
        <v>4764</v>
      </c>
      <c r="K633" s="102">
        <v>2822</v>
      </c>
    </row>
    <row r="634" ht="13.95" spans="2:11">
      <c r="B634" s="100" t="s">
        <v>352</v>
      </c>
      <c r="C634" s="101">
        <v>43145</v>
      </c>
      <c r="D634" s="101">
        <v>22126</v>
      </c>
      <c r="E634" s="101">
        <v>21019</v>
      </c>
      <c r="F634" s="101">
        <v>35885</v>
      </c>
      <c r="G634" s="101">
        <v>18027</v>
      </c>
      <c r="H634" s="101">
        <v>17858</v>
      </c>
      <c r="I634" s="101">
        <v>7260</v>
      </c>
      <c r="J634" s="101">
        <v>4099</v>
      </c>
      <c r="K634" s="102">
        <v>3161</v>
      </c>
    </row>
    <row r="635" ht="13.95" spans="2:11">
      <c r="B635" s="100" t="s">
        <v>355</v>
      </c>
      <c r="C635" s="101">
        <v>74000</v>
      </c>
      <c r="D635" s="101">
        <v>37278</v>
      </c>
      <c r="E635" s="101">
        <v>36722</v>
      </c>
      <c r="F635" s="101">
        <v>60916</v>
      </c>
      <c r="G635" s="101">
        <v>30346</v>
      </c>
      <c r="H635" s="101">
        <v>30570</v>
      </c>
      <c r="I635" s="101">
        <v>13084</v>
      </c>
      <c r="J635" s="101">
        <v>6932</v>
      </c>
      <c r="K635" s="102">
        <v>6152</v>
      </c>
    </row>
    <row r="636" ht="13.95" spans="2:11">
      <c r="B636" s="100" t="s">
        <v>357</v>
      </c>
      <c r="C636" s="101">
        <v>86290</v>
      </c>
      <c r="D636" s="101">
        <v>42721</v>
      </c>
      <c r="E636" s="101">
        <v>43569</v>
      </c>
      <c r="F636" s="101">
        <v>70617</v>
      </c>
      <c r="G636" s="101">
        <v>34530</v>
      </c>
      <c r="H636" s="101">
        <v>36087</v>
      </c>
      <c r="I636" s="101">
        <v>15673</v>
      </c>
      <c r="J636" s="101">
        <v>8191</v>
      </c>
      <c r="K636" s="102">
        <v>7482</v>
      </c>
    </row>
    <row r="637" ht="13.95" spans="2:11">
      <c r="B637" s="100" t="s">
        <v>359</v>
      </c>
      <c r="C637" s="101">
        <v>80747</v>
      </c>
      <c r="D637" s="101">
        <v>39236</v>
      </c>
      <c r="E637" s="101">
        <v>41511</v>
      </c>
      <c r="F637" s="101">
        <v>64479</v>
      </c>
      <c r="G637" s="101">
        <v>30662</v>
      </c>
      <c r="H637" s="101">
        <v>33817</v>
      </c>
      <c r="I637" s="101">
        <v>16268</v>
      </c>
      <c r="J637" s="101">
        <v>8574</v>
      </c>
      <c r="K637" s="102">
        <v>7694</v>
      </c>
    </row>
    <row r="638" ht="13.95" spans="2:11">
      <c r="B638" s="100" t="s">
        <v>360</v>
      </c>
      <c r="C638" s="101">
        <v>74989</v>
      </c>
      <c r="D638" s="101">
        <v>35865</v>
      </c>
      <c r="E638" s="101">
        <v>39124</v>
      </c>
      <c r="F638" s="101">
        <v>58418</v>
      </c>
      <c r="G638" s="101">
        <v>27367</v>
      </c>
      <c r="H638" s="101">
        <v>31051</v>
      </c>
      <c r="I638" s="101">
        <v>16571</v>
      </c>
      <c r="J638" s="101">
        <v>8498</v>
      </c>
      <c r="K638" s="102">
        <v>8073</v>
      </c>
    </row>
    <row r="639" ht="13.95" spans="2:11">
      <c r="B639" s="100" t="s">
        <v>362</v>
      </c>
      <c r="C639" s="101">
        <v>62013</v>
      </c>
      <c r="D639" s="101">
        <v>28904</v>
      </c>
      <c r="E639" s="101">
        <v>33109</v>
      </c>
      <c r="F639" s="101">
        <v>46214</v>
      </c>
      <c r="G639" s="101">
        <v>21253</v>
      </c>
      <c r="H639" s="101">
        <v>24961</v>
      </c>
      <c r="I639" s="101">
        <v>15799</v>
      </c>
      <c r="J639" s="101">
        <v>7651</v>
      </c>
      <c r="K639" s="102">
        <v>8148</v>
      </c>
    </row>
    <row r="640" ht="13.95" spans="2:11">
      <c r="B640" s="100" t="s">
        <v>363</v>
      </c>
      <c r="C640" s="101">
        <v>67508</v>
      </c>
      <c r="D640" s="101">
        <v>30183</v>
      </c>
      <c r="E640" s="101">
        <v>37325</v>
      </c>
      <c r="F640" s="101">
        <v>47636</v>
      </c>
      <c r="G640" s="101">
        <v>20931</v>
      </c>
      <c r="H640" s="101">
        <v>26705</v>
      </c>
      <c r="I640" s="101">
        <v>19872</v>
      </c>
      <c r="J640" s="101">
        <v>9252</v>
      </c>
      <c r="K640" s="102">
        <v>10620</v>
      </c>
    </row>
    <row r="641" ht="13.95" spans="2:11">
      <c r="B641" s="100" t="s">
        <v>364</v>
      </c>
      <c r="C641" s="101">
        <v>77445</v>
      </c>
      <c r="D641" s="101">
        <v>32284</v>
      </c>
      <c r="E641" s="101">
        <v>45161</v>
      </c>
      <c r="F641" s="101">
        <v>53529</v>
      </c>
      <c r="G641" s="101">
        <v>21542</v>
      </c>
      <c r="H641" s="101">
        <v>31987</v>
      </c>
      <c r="I641" s="101">
        <v>23916</v>
      </c>
      <c r="J641" s="101">
        <v>10742</v>
      </c>
      <c r="K641" s="102">
        <v>13174</v>
      </c>
    </row>
    <row r="642" ht="13.95" spans="2:11">
      <c r="B642" s="100" t="s">
        <v>365</v>
      </c>
      <c r="C642" s="101">
        <v>70670</v>
      </c>
      <c r="D642" s="101">
        <v>26710</v>
      </c>
      <c r="E642" s="101">
        <v>43960</v>
      </c>
      <c r="F642" s="101">
        <v>50339</v>
      </c>
      <c r="G642" s="101">
        <v>18310</v>
      </c>
      <c r="H642" s="101">
        <v>32029</v>
      </c>
      <c r="I642" s="101">
        <v>20331</v>
      </c>
      <c r="J642" s="101">
        <v>8400</v>
      </c>
      <c r="K642" s="102">
        <v>11931</v>
      </c>
    </row>
    <row r="643" ht="13.95" spans="2:11">
      <c r="B643" s="100" t="s">
        <v>366</v>
      </c>
      <c r="C643" s="101">
        <v>50846</v>
      </c>
      <c r="D643" s="101">
        <v>17426</v>
      </c>
      <c r="E643" s="101">
        <v>33420</v>
      </c>
      <c r="F643" s="101">
        <v>38125</v>
      </c>
      <c r="G643" s="101">
        <v>12541</v>
      </c>
      <c r="H643" s="101">
        <v>25584</v>
      </c>
      <c r="I643" s="101">
        <v>12721</v>
      </c>
      <c r="J643" s="101">
        <v>4885</v>
      </c>
      <c r="K643" s="102">
        <v>7836</v>
      </c>
    </row>
    <row r="644" ht="13.95" spans="2:11">
      <c r="B644" s="100" t="s">
        <v>367</v>
      </c>
      <c r="C644" s="101">
        <v>19761</v>
      </c>
      <c r="D644" s="101">
        <v>5992</v>
      </c>
      <c r="E644" s="101">
        <v>13769</v>
      </c>
      <c r="F644" s="101">
        <v>15445</v>
      </c>
      <c r="G644" s="101">
        <v>4512</v>
      </c>
      <c r="H644" s="101">
        <v>10933</v>
      </c>
      <c r="I644" s="101">
        <v>4316</v>
      </c>
      <c r="J644" s="101">
        <v>1480</v>
      </c>
      <c r="K644" s="102">
        <v>2836</v>
      </c>
    </row>
    <row r="645" ht="13.95" spans="2:11">
      <c r="B645" s="100" t="s">
        <v>375</v>
      </c>
      <c r="C645" s="101">
        <v>24333</v>
      </c>
      <c r="D645" s="101">
        <v>5947</v>
      </c>
      <c r="E645" s="101">
        <v>18386</v>
      </c>
      <c r="F645" s="101">
        <v>18383</v>
      </c>
      <c r="G645" s="101">
        <v>4267</v>
      </c>
      <c r="H645" s="101">
        <v>14116</v>
      </c>
      <c r="I645" s="101">
        <v>5950</v>
      </c>
      <c r="J645" s="101">
        <v>1680</v>
      </c>
      <c r="K645" s="102">
        <v>4270</v>
      </c>
    </row>
    <row r="646" ht="13.95" spans="2:11">
      <c r="B646" s="100" t="s">
        <v>376</v>
      </c>
      <c r="C646" s="101">
        <v>10420</v>
      </c>
      <c r="D646" s="101">
        <v>2077</v>
      </c>
      <c r="E646" s="101">
        <v>8343</v>
      </c>
      <c r="F646" s="101">
        <v>7512</v>
      </c>
      <c r="G646" s="101">
        <v>1442</v>
      </c>
      <c r="H646" s="101">
        <v>6070</v>
      </c>
      <c r="I646" s="101">
        <v>2908</v>
      </c>
      <c r="J646" s="101">
        <v>635</v>
      </c>
      <c r="K646" s="102">
        <v>2273</v>
      </c>
    </row>
    <row r="647" ht="13.95" spans="2:11">
      <c r="B647" s="100" t="s">
        <v>377</v>
      </c>
      <c r="C647" s="101">
        <v>2434</v>
      </c>
      <c r="D647" s="101">
        <v>507</v>
      </c>
      <c r="E647" s="101">
        <v>1927</v>
      </c>
      <c r="F647" s="101">
        <v>1647</v>
      </c>
      <c r="G647" s="101">
        <v>296</v>
      </c>
      <c r="H647" s="101">
        <v>1351</v>
      </c>
      <c r="I647" s="101">
        <v>787</v>
      </c>
      <c r="J647" s="101">
        <v>211</v>
      </c>
      <c r="K647" s="102">
        <v>576</v>
      </c>
    </row>
    <row r="648" ht="13.95" spans="2:11">
      <c r="B648" s="100" t="s">
        <v>378</v>
      </c>
      <c r="C648" s="101">
        <v>415</v>
      </c>
      <c r="D648" s="101">
        <v>80</v>
      </c>
      <c r="E648" s="101">
        <v>335</v>
      </c>
      <c r="F648" s="101">
        <v>275</v>
      </c>
      <c r="G648" s="101">
        <v>33</v>
      </c>
      <c r="H648" s="101">
        <v>242</v>
      </c>
      <c r="I648" s="101">
        <v>140</v>
      </c>
      <c r="J648" s="101">
        <v>47</v>
      </c>
      <c r="K648" s="102">
        <v>93</v>
      </c>
    </row>
    <row r="649" ht="13.95" spans="2:11">
      <c r="B649" s="100" t="s">
        <v>379</v>
      </c>
      <c r="C649" s="101">
        <v>15</v>
      </c>
      <c r="D649" s="101">
        <v>13</v>
      </c>
      <c r="E649" s="101">
        <v>2</v>
      </c>
      <c r="F649" s="101">
        <v>1</v>
      </c>
      <c r="G649" s="101">
        <v>0</v>
      </c>
      <c r="H649" s="101">
        <v>1</v>
      </c>
      <c r="I649" s="101">
        <v>14</v>
      </c>
      <c r="J649" s="101">
        <v>13</v>
      </c>
      <c r="K649" s="102">
        <v>1</v>
      </c>
    </row>
    <row r="650" ht="13.95" spans="2:11">
      <c r="B650" s="100" t="s">
        <v>380</v>
      </c>
      <c r="C650" s="97"/>
      <c r="D650" s="97"/>
      <c r="E650" s="97"/>
      <c r="F650" s="97"/>
      <c r="G650" s="97"/>
      <c r="H650" s="97"/>
      <c r="I650" s="97"/>
      <c r="J650" s="97"/>
      <c r="K650" s="98"/>
    </row>
    <row r="651" ht="13.95" spans="2:11">
      <c r="B651" s="100" t="s">
        <v>320</v>
      </c>
      <c r="C651" s="101">
        <v>185226</v>
      </c>
      <c r="D651" s="101">
        <v>96112</v>
      </c>
      <c r="E651" s="101">
        <v>89114</v>
      </c>
      <c r="F651" s="101">
        <v>145899</v>
      </c>
      <c r="G651" s="101">
        <v>74758</v>
      </c>
      <c r="H651" s="101">
        <v>71141</v>
      </c>
      <c r="I651" s="101">
        <v>39327</v>
      </c>
      <c r="J651" s="101">
        <v>21354</v>
      </c>
      <c r="K651" s="102">
        <v>17973</v>
      </c>
    </row>
    <row r="652" ht="13.95" spans="2:11">
      <c r="B652" s="100" t="s">
        <v>381</v>
      </c>
      <c r="C652" s="101">
        <v>564960</v>
      </c>
      <c r="D652" s="101">
        <v>296943</v>
      </c>
      <c r="E652" s="101">
        <v>268017</v>
      </c>
      <c r="F652" s="101">
        <v>448553</v>
      </c>
      <c r="G652" s="101">
        <v>230909</v>
      </c>
      <c r="H652" s="101">
        <v>217644</v>
      </c>
      <c r="I652" s="101">
        <v>116407</v>
      </c>
      <c r="J652" s="101">
        <v>66034</v>
      </c>
      <c r="K652" s="102">
        <v>50373</v>
      </c>
    </row>
    <row r="653" ht="13.95" spans="2:11">
      <c r="B653" s="104" t="s">
        <v>382</v>
      </c>
      <c r="C653" s="105">
        <v>265844</v>
      </c>
      <c r="D653" s="105">
        <v>77299</v>
      </c>
      <c r="E653" s="105">
        <v>188545</v>
      </c>
      <c r="F653" s="105">
        <v>192597</v>
      </c>
      <c r="G653" s="105">
        <v>53755</v>
      </c>
      <c r="H653" s="105">
        <v>138842</v>
      </c>
      <c r="I653" s="105">
        <v>73247</v>
      </c>
      <c r="J653" s="105">
        <v>23544</v>
      </c>
      <c r="K653" s="106">
        <v>49703</v>
      </c>
    </row>
    <row r="654" ht="13.95"/>
    <row r="655" ht="13.95"/>
    <row r="656" spans="2:11">
      <c r="B656" s="78" t="s">
        <v>392</v>
      </c>
      <c r="C656" s="79"/>
      <c r="D656" s="79"/>
      <c r="E656" s="79"/>
      <c r="F656" s="79"/>
      <c r="G656" s="79"/>
      <c r="H656" s="79"/>
      <c r="I656" s="79"/>
      <c r="J656" s="79"/>
      <c r="K656" s="80"/>
    </row>
    <row r="657" ht="13.95" spans="2:11">
      <c r="B657" s="81" t="s">
        <v>393</v>
      </c>
      <c r="C657" s="82"/>
      <c r="D657" s="82"/>
      <c r="E657" s="82"/>
      <c r="F657" s="82"/>
      <c r="G657" s="82"/>
      <c r="H657" s="82"/>
      <c r="I657" s="82"/>
      <c r="J657" s="82"/>
      <c r="K657" s="83"/>
    </row>
    <row r="658" ht="13.95" spans="2:11">
      <c r="B658" s="110" t="s">
        <v>394</v>
      </c>
      <c r="C658" s="110"/>
      <c r="D658" s="110"/>
      <c r="E658" s="110"/>
      <c r="F658" s="110"/>
      <c r="G658" s="110"/>
      <c r="H658" s="110"/>
      <c r="I658" s="110"/>
      <c r="J658" s="110"/>
      <c r="K658" s="110"/>
    </row>
    <row r="659" ht="13.95" spans="2:11">
      <c r="B659" s="84" t="s">
        <v>395</v>
      </c>
      <c r="C659" s="84"/>
      <c r="D659" s="84"/>
      <c r="E659" s="84"/>
      <c r="F659" s="84"/>
      <c r="G659" s="84"/>
      <c r="H659" s="84"/>
      <c r="I659" s="84"/>
      <c r="J659" s="84"/>
      <c r="K659" s="84"/>
    </row>
    <row r="660" ht="13.95" spans="2:11">
      <c r="B660" s="111" t="s">
        <v>210</v>
      </c>
      <c r="C660" s="111"/>
      <c r="D660" s="111"/>
      <c r="E660" s="111"/>
      <c r="F660" s="111"/>
      <c r="G660" s="111"/>
      <c r="H660" s="111"/>
      <c r="I660" s="111"/>
      <c r="J660" s="111"/>
      <c r="K660" s="111"/>
    </row>
    <row r="661" ht="13.95" spans="2:11">
      <c r="B661" s="112" t="s">
        <v>334</v>
      </c>
      <c r="C661" s="112" t="s">
        <v>335</v>
      </c>
      <c r="D661" s="112"/>
      <c r="E661" s="112"/>
      <c r="F661" s="113" t="s">
        <v>212</v>
      </c>
      <c r="G661" s="113"/>
      <c r="H661" s="113"/>
      <c r="I661" s="113" t="s">
        <v>213</v>
      </c>
      <c r="J661" s="113"/>
      <c r="K661" s="113"/>
    </row>
    <row r="662" ht="13.95" spans="2:11">
      <c r="B662" s="112"/>
      <c r="C662" s="89" t="s">
        <v>215</v>
      </c>
      <c r="D662" s="113" t="s">
        <v>215</v>
      </c>
      <c r="E662" s="113" t="s">
        <v>216</v>
      </c>
      <c r="F662" s="89" t="s">
        <v>215</v>
      </c>
      <c r="G662" s="113" t="s">
        <v>215</v>
      </c>
      <c r="H662" s="113" t="s">
        <v>216</v>
      </c>
      <c r="I662" s="89" t="s">
        <v>215</v>
      </c>
      <c r="J662" s="113" t="s">
        <v>215</v>
      </c>
      <c r="K662" s="113" t="s">
        <v>216</v>
      </c>
    </row>
    <row r="663" ht="27.15" spans="2:11">
      <c r="B663" s="112"/>
      <c r="C663" s="114" t="s">
        <v>337</v>
      </c>
      <c r="D663" s="113"/>
      <c r="E663" s="113"/>
      <c r="F663" s="114" t="s">
        <v>337</v>
      </c>
      <c r="G663" s="113"/>
      <c r="H663" s="113"/>
      <c r="I663" s="114" t="s">
        <v>337</v>
      </c>
      <c r="J663" s="113"/>
      <c r="K663" s="113"/>
    </row>
    <row r="664" ht="13.95" spans="2:11">
      <c r="B664" s="107">
        <v>0</v>
      </c>
      <c r="C664" s="101">
        <v>8139</v>
      </c>
      <c r="D664" s="101">
        <v>4152</v>
      </c>
      <c r="E664" s="101">
        <v>3987</v>
      </c>
      <c r="F664" s="101">
        <v>6414</v>
      </c>
      <c r="G664" s="101">
        <v>3298</v>
      </c>
      <c r="H664" s="101">
        <v>3116</v>
      </c>
      <c r="I664" s="101">
        <v>1725</v>
      </c>
      <c r="J664" s="101">
        <v>854</v>
      </c>
      <c r="K664" s="101">
        <v>871</v>
      </c>
    </row>
    <row r="665" ht="13.95" spans="2:11">
      <c r="B665" s="107">
        <v>1</v>
      </c>
      <c r="C665" s="101">
        <v>8258</v>
      </c>
      <c r="D665" s="101">
        <v>4288</v>
      </c>
      <c r="E665" s="101">
        <v>3970</v>
      </c>
      <c r="F665" s="101">
        <v>6570</v>
      </c>
      <c r="G665" s="101">
        <v>3339</v>
      </c>
      <c r="H665" s="101">
        <v>3231</v>
      </c>
      <c r="I665" s="101">
        <v>1688</v>
      </c>
      <c r="J665" s="101">
        <v>949</v>
      </c>
      <c r="K665" s="101">
        <v>739</v>
      </c>
    </row>
    <row r="666" ht="13.95" spans="2:11">
      <c r="B666" s="107">
        <v>2</v>
      </c>
      <c r="C666" s="101">
        <v>8489</v>
      </c>
      <c r="D666" s="101">
        <v>4382</v>
      </c>
      <c r="E666" s="101">
        <v>4107</v>
      </c>
      <c r="F666" s="101">
        <v>6903</v>
      </c>
      <c r="G666" s="101">
        <v>3465</v>
      </c>
      <c r="H666" s="101">
        <v>3438</v>
      </c>
      <c r="I666" s="101">
        <v>1586</v>
      </c>
      <c r="J666" s="101">
        <v>917</v>
      </c>
      <c r="K666" s="101">
        <v>669</v>
      </c>
    </row>
    <row r="667" ht="13.95" spans="2:11">
      <c r="B667" s="107">
        <v>3</v>
      </c>
      <c r="C667" s="101">
        <v>9344</v>
      </c>
      <c r="D667" s="101">
        <v>4904</v>
      </c>
      <c r="E667" s="101">
        <v>4440</v>
      </c>
      <c r="F667" s="101">
        <v>7483</v>
      </c>
      <c r="G667" s="101">
        <v>3857</v>
      </c>
      <c r="H667" s="101">
        <v>3626</v>
      </c>
      <c r="I667" s="101">
        <v>1861</v>
      </c>
      <c r="J667" s="101">
        <v>1047</v>
      </c>
      <c r="K667" s="101">
        <v>814</v>
      </c>
    </row>
    <row r="668" ht="13.95" spans="2:11">
      <c r="B668" s="107">
        <v>4</v>
      </c>
      <c r="C668" s="101">
        <v>10223</v>
      </c>
      <c r="D668" s="101">
        <v>5367</v>
      </c>
      <c r="E668" s="101">
        <v>4856</v>
      </c>
      <c r="F668" s="101">
        <v>8253</v>
      </c>
      <c r="G668" s="101">
        <v>4271</v>
      </c>
      <c r="H668" s="101">
        <v>3982</v>
      </c>
      <c r="I668" s="101">
        <v>1970</v>
      </c>
      <c r="J668" s="101">
        <v>1096</v>
      </c>
      <c r="K668" s="101">
        <v>874</v>
      </c>
    </row>
    <row r="669" ht="13.95" spans="2:11">
      <c r="B669" s="115" t="s">
        <v>340</v>
      </c>
      <c r="C669" s="116">
        <v>44453</v>
      </c>
      <c r="D669" s="116">
        <v>23093</v>
      </c>
      <c r="E669" s="116">
        <v>21360</v>
      </c>
      <c r="F669" s="116">
        <v>35623</v>
      </c>
      <c r="G669" s="116">
        <v>18230</v>
      </c>
      <c r="H669" s="116">
        <v>17393</v>
      </c>
      <c r="I669" s="116">
        <v>8830</v>
      </c>
      <c r="J669" s="116">
        <v>4863</v>
      </c>
      <c r="K669" s="116">
        <v>3967</v>
      </c>
    </row>
    <row r="670" ht="13.95" spans="2:11">
      <c r="B670" s="107">
        <v>5</v>
      </c>
      <c r="C670" s="101">
        <v>11126</v>
      </c>
      <c r="D670" s="101">
        <v>5691</v>
      </c>
      <c r="E670" s="101">
        <v>5435</v>
      </c>
      <c r="F670" s="101">
        <v>8847</v>
      </c>
      <c r="G670" s="101">
        <v>4410</v>
      </c>
      <c r="H670" s="101">
        <v>4437</v>
      </c>
      <c r="I670" s="101">
        <v>2279</v>
      </c>
      <c r="J670" s="101">
        <v>1281</v>
      </c>
      <c r="K670" s="101">
        <v>998</v>
      </c>
    </row>
    <row r="671" ht="13.95" spans="2:11">
      <c r="B671" s="107">
        <v>6</v>
      </c>
      <c r="C671" s="101">
        <v>12604</v>
      </c>
      <c r="D671" s="101">
        <v>6562</v>
      </c>
      <c r="E671" s="101">
        <v>6042</v>
      </c>
      <c r="F671" s="101">
        <v>10198</v>
      </c>
      <c r="G671" s="101">
        <v>5229</v>
      </c>
      <c r="H671" s="101">
        <v>4969</v>
      </c>
      <c r="I671" s="101">
        <v>2406</v>
      </c>
      <c r="J671" s="101">
        <v>1333</v>
      </c>
      <c r="K671" s="101">
        <v>1073</v>
      </c>
    </row>
    <row r="672" ht="13.95" spans="2:11">
      <c r="B672" s="107">
        <v>7</v>
      </c>
      <c r="C672" s="101">
        <v>12798</v>
      </c>
      <c r="D672" s="101">
        <v>6677</v>
      </c>
      <c r="E672" s="101">
        <v>6121</v>
      </c>
      <c r="F672" s="101">
        <v>10453</v>
      </c>
      <c r="G672" s="101">
        <v>5404</v>
      </c>
      <c r="H672" s="101">
        <v>5049</v>
      </c>
      <c r="I672" s="101">
        <v>2345</v>
      </c>
      <c r="J672" s="101">
        <v>1273</v>
      </c>
      <c r="K672" s="101">
        <v>1072</v>
      </c>
    </row>
    <row r="673" ht="13.95" spans="2:11">
      <c r="B673" s="107">
        <v>8</v>
      </c>
      <c r="C673" s="101">
        <v>13016</v>
      </c>
      <c r="D673" s="101">
        <v>6942</v>
      </c>
      <c r="E673" s="101">
        <v>6074</v>
      </c>
      <c r="F673" s="101">
        <v>10144</v>
      </c>
      <c r="G673" s="101">
        <v>5280</v>
      </c>
      <c r="H673" s="101">
        <v>4864</v>
      </c>
      <c r="I673" s="101">
        <v>2872</v>
      </c>
      <c r="J673" s="101">
        <v>1662</v>
      </c>
      <c r="K673" s="101">
        <v>1210</v>
      </c>
    </row>
    <row r="674" ht="13.95" spans="2:11">
      <c r="B674" s="107">
        <v>9</v>
      </c>
      <c r="C674" s="101">
        <v>13030</v>
      </c>
      <c r="D674" s="101">
        <v>6900</v>
      </c>
      <c r="E674" s="101">
        <v>6130</v>
      </c>
      <c r="F674" s="101">
        <v>10289</v>
      </c>
      <c r="G674" s="101">
        <v>5296</v>
      </c>
      <c r="H674" s="101">
        <v>4993</v>
      </c>
      <c r="I674" s="101">
        <v>2741</v>
      </c>
      <c r="J674" s="101">
        <v>1604</v>
      </c>
      <c r="K674" s="101">
        <v>1137</v>
      </c>
    </row>
    <row r="675" ht="13.95" spans="2:11">
      <c r="B675" s="117">
        <v>46270</v>
      </c>
      <c r="C675" s="116">
        <v>62574</v>
      </c>
      <c r="D675" s="116">
        <v>32772</v>
      </c>
      <c r="E675" s="116">
        <v>29802</v>
      </c>
      <c r="F675" s="116">
        <v>49931</v>
      </c>
      <c r="G675" s="116">
        <v>25619</v>
      </c>
      <c r="H675" s="116">
        <v>24312</v>
      </c>
      <c r="I675" s="116">
        <v>12643</v>
      </c>
      <c r="J675" s="116">
        <v>7153</v>
      </c>
      <c r="K675" s="116">
        <v>5490</v>
      </c>
    </row>
    <row r="676" ht="13.95" spans="2:11">
      <c r="B676" s="107">
        <v>10</v>
      </c>
      <c r="C676" s="101">
        <v>13056</v>
      </c>
      <c r="D676" s="101">
        <v>6913</v>
      </c>
      <c r="E676" s="101">
        <v>6143</v>
      </c>
      <c r="F676" s="101">
        <v>10173</v>
      </c>
      <c r="G676" s="101">
        <v>5274</v>
      </c>
      <c r="H676" s="101">
        <v>4899</v>
      </c>
      <c r="I676" s="101">
        <v>2883</v>
      </c>
      <c r="J676" s="101">
        <v>1639</v>
      </c>
      <c r="K676" s="101">
        <v>1244</v>
      </c>
    </row>
    <row r="677" ht="13.95" spans="2:11">
      <c r="B677" s="107">
        <v>11</v>
      </c>
      <c r="C677" s="101">
        <v>12648</v>
      </c>
      <c r="D677" s="101">
        <v>6609</v>
      </c>
      <c r="E677" s="101">
        <v>6039</v>
      </c>
      <c r="F677" s="101">
        <v>9800</v>
      </c>
      <c r="G677" s="101">
        <v>4993</v>
      </c>
      <c r="H677" s="101">
        <v>4807</v>
      </c>
      <c r="I677" s="101">
        <v>2848</v>
      </c>
      <c r="J677" s="101">
        <v>1616</v>
      </c>
      <c r="K677" s="101">
        <v>1232</v>
      </c>
    </row>
    <row r="678" ht="13.95" spans="2:11">
      <c r="B678" s="107">
        <v>12</v>
      </c>
      <c r="C678" s="101">
        <v>12634</v>
      </c>
      <c r="D678" s="101">
        <v>6385</v>
      </c>
      <c r="E678" s="101">
        <v>6249</v>
      </c>
      <c r="F678" s="101">
        <v>10049</v>
      </c>
      <c r="G678" s="101">
        <v>5079</v>
      </c>
      <c r="H678" s="101">
        <v>4970</v>
      </c>
      <c r="I678" s="101">
        <v>2585</v>
      </c>
      <c r="J678" s="101">
        <v>1306</v>
      </c>
      <c r="K678" s="101">
        <v>1279</v>
      </c>
    </row>
    <row r="679" ht="13.95" spans="2:11">
      <c r="B679" s="107">
        <v>13</v>
      </c>
      <c r="C679" s="101">
        <v>12508</v>
      </c>
      <c r="D679" s="101">
        <v>6425</v>
      </c>
      <c r="E679" s="101">
        <v>6083</v>
      </c>
      <c r="F679" s="101">
        <v>9719</v>
      </c>
      <c r="G679" s="101">
        <v>5059</v>
      </c>
      <c r="H679" s="101">
        <v>4660</v>
      </c>
      <c r="I679" s="101">
        <v>2789</v>
      </c>
      <c r="J679" s="101">
        <v>1366</v>
      </c>
      <c r="K679" s="101">
        <v>1423</v>
      </c>
    </row>
    <row r="680" ht="13.95" spans="2:11">
      <c r="B680" s="107">
        <v>14</v>
      </c>
      <c r="C680" s="101">
        <v>12074</v>
      </c>
      <c r="D680" s="101">
        <v>6144</v>
      </c>
      <c r="E680" s="101">
        <v>5930</v>
      </c>
      <c r="F680" s="101">
        <v>9329</v>
      </c>
      <c r="G680" s="101">
        <v>4737</v>
      </c>
      <c r="H680" s="101">
        <v>4592</v>
      </c>
      <c r="I680" s="101">
        <v>2745</v>
      </c>
      <c r="J680" s="101">
        <v>1407</v>
      </c>
      <c r="K680" s="101">
        <v>1338</v>
      </c>
    </row>
    <row r="681" ht="13.95" spans="2:11">
      <c r="B681" s="118">
        <v>41913</v>
      </c>
      <c r="C681" s="116">
        <v>62920</v>
      </c>
      <c r="D681" s="116">
        <v>32476</v>
      </c>
      <c r="E681" s="116">
        <v>30444</v>
      </c>
      <c r="F681" s="116">
        <v>49070</v>
      </c>
      <c r="G681" s="116">
        <v>25142</v>
      </c>
      <c r="H681" s="116">
        <v>23928</v>
      </c>
      <c r="I681" s="116">
        <v>13850</v>
      </c>
      <c r="J681" s="116">
        <v>7334</v>
      </c>
      <c r="K681" s="116">
        <v>6516</v>
      </c>
    </row>
    <row r="682" ht="13.95" spans="2:11">
      <c r="B682" s="107">
        <v>15</v>
      </c>
      <c r="C682" s="101">
        <v>12036</v>
      </c>
      <c r="D682" s="101">
        <v>6121</v>
      </c>
      <c r="E682" s="101">
        <v>5915</v>
      </c>
      <c r="F682" s="101">
        <v>9279</v>
      </c>
      <c r="G682" s="101">
        <v>4767</v>
      </c>
      <c r="H682" s="101">
        <v>4512</v>
      </c>
      <c r="I682" s="101">
        <v>2757</v>
      </c>
      <c r="J682" s="101">
        <v>1354</v>
      </c>
      <c r="K682" s="101">
        <v>1403</v>
      </c>
    </row>
    <row r="683" ht="13.95" spans="2:11">
      <c r="B683" s="107">
        <v>16</v>
      </c>
      <c r="C683" s="101">
        <v>10912</v>
      </c>
      <c r="D683" s="101">
        <v>5585</v>
      </c>
      <c r="E683" s="101">
        <v>5327</v>
      </c>
      <c r="F683" s="101">
        <v>8972</v>
      </c>
      <c r="G683" s="101">
        <v>4597</v>
      </c>
      <c r="H683" s="101">
        <v>4375</v>
      </c>
      <c r="I683" s="101">
        <v>1940</v>
      </c>
      <c r="J683" s="101">
        <v>988</v>
      </c>
      <c r="K683" s="101">
        <v>952</v>
      </c>
    </row>
    <row r="684" ht="13.95" spans="2:11">
      <c r="B684" s="107">
        <v>17</v>
      </c>
      <c r="C684" s="101">
        <v>11272</v>
      </c>
      <c r="D684" s="101">
        <v>5988</v>
      </c>
      <c r="E684" s="101">
        <v>5284</v>
      </c>
      <c r="F684" s="101">
        <v>9623</v>
      </c>
      <c r="G684" s="101">
        <v>5103</v>
      </c>
      <c r="H684" s="101">
        <v>4520</v>
      </c>
      <c r="I684" s="101">
        <v>1649</v>
      </c>
      <c r="J684" s="101">
        <v>885</v>
      </c>
      <c r="K684" s="101">
        <v>764</v>
      </c>
    </row>
    <row r="685" ht="13.95" spans="2:11">
      <c r="B685" s="107">
        <v>18</v>
      </c>
      <c r="C685" s="101">
        <v>11171</v>
      </c>
      <c r="D685" s="101">
        <v>5945</v>
      </c>
      <c r="E685" s="101">
        <v>5226</v>
      </c>
      <c r="F685" s="101">
        <v>9843</v>
      </c>
      <c r="G685" s="101">
        <v>5230</v>
      </c>
      <c r="H685" s="101">
        <v>4613</v>
      </c>
      <c r="I685" s="101">
        <v>1328</v>
      </c>
      <c r="J685" s="101">
        <v>715</v>
      </c>
      <c r="K685" s="101">
        <v>613</v>
      </c>
    </row>
    <row r="686" ht="13.95" spans="2:11">
      <c r="B686" s="107">
        <v>19</v>
      </c>
      <c r="C686" s="101">
        <v>10801</v>
      </c>
      <c r="D686" s="101">
        <v>6091</v>
      </c>
      <c r="E686" s="101">
        <v>4710</v>
      </c>
      <c r="F686" s="101">
        <v>9426</v>
      </c>
      <c r="G686" s="101">
        <v>5233</v>
      </c>
      <c r="H686" s="101">
        <v>4193</v>
      </c>
      <c r="I686" s="101">
        <v>1375</v>
      </c>
      <c r="J686" s="101">
        <v>858</v>
      </c>
      <c r="K686" s="101">
        <v>517</v>
      </c>
    </row>
    <row r="687" ht="13.95" spans="2:11">
      <c r="B687" s="115" t="s">
        <v>350</v>
      </c>
      <c r="C687" s="116">
        <v>56192</v>
      </c>
      <c r="D687" s="116">
        <v>29730</v>
      </c>
      <c r="E687" s="116">
        <v>26462</v>
      </c>
      <c r="F687" s="116">
        <v>47143</v>
      </c>
      <c r="G687" s="116">
        <v>24930</v>
      </c>
      <c r="H687" s="116">
        <v>22213</v>
      </c>
      <c r="I687" s="116">
        <v>9049</v>
      </c>
      <c r="J687" s="116">
        <v>4800</v>
      </c>
      <c r="K687" s="116">
        <v>4249</v>
      </c>
    </row>
    <row r="688" ht="13.95" spans="2:11">
      <c r="B688" s="107">
        <v>20</v>
      </c>
      <c r="C688" s="101">
        <v>10206</v>
      </c>
      <c r="D688" s="101">
        <v>5742</v>
      </c>
      <c r="E688" s="101">
        <v>4464</v>
      </c>
      <c r="F688" s="101">
        <v>8430</v>
      </c>
      <c r="G688" s="101">
        <v>4747</v>
      </c>
      <c r="H688" s="101">
        <v>3683</v>
      </c>
      <c r="I688" s="101">
        <v>1776</v>
      </c>
      <c r="J688" s="101">
        <v>995</v>
      </c>
      <c r="K688" s="101">
        <v>781</v>
      </c>
    </row>
    <row r="689" ht="13.95" spans="2:11">
      <c r="B689" s="107">
        <v>21</v>
      </c>
      <c r="C689" s="101">
        <v>9172</v>
      </c>
      <c r="D689" s="101">
        <v>5291</v>
      </c>
      <c r="E689" s="101">
        <v>3881</v>
      </c>
      <c r="F689" s="101">
        <v>7632</v>
      </c>
      <c r="G689" s="101">
        <v>4425</v>
      </c>
      <c r="H689" s="101">
        <v>3207</v>
      </c>
      <c r="I689" s="101">
        <v>1540</v>
      </c>
      <c r="J689" s="101">
        <v>866</v>
      </c>
      <c r="K689" s="101">
        <v>674</v>
      </c>
    </row>
    <row r="690" ht="13.95" spans="2:11">
      <c r="B690" s="107">
        <v>22</v>
      </c>
      <c r="C690" s="101">
        <v>8553</v>
      </c>
      <c r="D690" s="101">
        <v>4585</v>
      </c>
      <c r="E690" s="101">
        <v>3968</v>
      </c>
      <c r="F690" s="101">
        <v>6888</v>
      </c>
      <c r="G690" s="101">
        <v>3654</v>
      </c>
      <c r="H690" s="101">
        <v>3234</v>
      </c>
      <c r="I690" s="101">
        <v>1665</v>
      </c>
      <c r="J690" s="101">
        <v>931</v>
      </c>
      <c r="K690" s="101">
        <v>734</v>
      </c>
    </row>
    <row r="691" ht="13.95" spans="2:11">
      <c r="B691" s="107">
        <v>23</v>
      </c>
      <c r="C691" s="101">
        <v>8012</v>
      </c>
      <c r="D691" s="101">
        <v>4246</v>
      </c>
      <c r="E691" s="101">
        <v>3766</v>
      </c>
      <c r="F691" s="101">
        <v>6484</v>
      </c>
      <c r="G691" s="101">
        <v>3335</v>
      </c>
      <c r="H691" s="101">
        <v>3149</v>
      </c>
      <c r="I691" s="101">
        <v>1528</v>
      </c>
      <c r="J691" s="101">
        <v>911</v>
      </c>
      <c r="K691" s="101">
        <v>617</v>
      </c>
    </row>
    <row r="692" ht="13.95" spans="2:11">
      <c r="B692" s="107">
        <v>24</v>
      </c>
      <c r="C692" s="101">
        <v>8408</v>
      </c>
      <c r="D692" s="101">
        <v>4569</v>
      </c>
      <c r="E692" s="101">
        <v>3839</v>
      </c>
      <c r="F692" s="101">
        <v>6728</v>
      </c>
      <c r="G692" s="101">
        <v>3467</v>
      </c>
      <c r="H692" s="101">
        <v>3261</v>
      </c>
      <c r="I692" s="101">
        <v>1680</v>
      </c>
      <c r="J692" s="101">
        <v>1102</v>
      </c>
      <c r="K692" s="101">
        <v>578</v>
      </c>
    </row>
    <row r="693" ht="13.95" spans="2:11">
      <c r="B693" s="115" t="s">
        <v>351</v>
      </c>
      <c r="C693" s="116">
        <v>44351</v>
      </c>
      <c r="D693" s="116">
        <v>24433</v>
      </c>
      <c r="E693" s="116">
        <v>19918</v>
      </c>
      <c r="F693" s="116">
        <v>36162</v>
      </c>
      <c r="G693" s="116">
        <v>19628</v>
      </c>
      <c r="H693" s="116">
        <v>16534</v>
      </c>
      <c r="I693" s="116">
        <v>8189</v>
      </c>
      <c r="J693" s="116">
        <v>4805</v>
      </c>
      <c r="K693" s="116">
        <v>3384</v>
      </c>
    </row>
    <row r="694" ht="13.95" spans="2:11">
      <c r="B694" s="107">
        <v>25</v>
      </c>
      <c r="C694" s="101">
        <v>7927</v>
      </c>
      <c r="D694" s="101">
        <v>4398</v>
      </c>
      <c r="E694" s="101">
        <v>3529</v>
      </c>
      <c r="F694" s="101">
        <v>6222</v>
      </c>
      <c r="G694" s="101">
        <v>3237</v>
      </c>
      <c r="H694" s="101">
        <v>2985</v>
      </c>
      <c r="I694" s="101">
        <v>1705</v>
      </c>
      <c r="J694" s="101">
        <v>1161</v>
      </c>
      <c r="K694" s="101">
        <v>544</v>
      </c>
    </row>
    <row r="695" ht="13.95" spans="2:11">
      <c r="B695" s="107">
        <v>26</v>
      </c>
      <c r="C695" s="101">
        <v>8341</v>
      </c>
      <c r="D695" s="101">
        <v>4445</v>
      </c>
      <c r="E695" s="101">
        <v>3896</v>
      </c>
      <c r="F695" s="101">
        <v>6813</v>
      </c>
      <c r="G695" s="101">
        <v>3447</v>
      </c>
      <c r="H695" s="101">
        <v>3366</v>
      </c>
      <c r="I695" s="101">
        <v>1528</v>
      </c>
      <c r="J695" s="101">
        <v>998</v>
      </c>
      <c r="K695" s="101">
        <v>530</v>
      </c>
    </row>
    <row r="696" ht="13.95" spans="2:11">
      <c r="B696" s="107">
        <v>27</v>
      </c>
      <c r="C696" s="101">
        <v>8530</v>
      </c>
      <c r="D696" s="101">
        <v>4498</v>
      </c>
      <c r="E696" s="101">
        <v>4032</v>
      </c>
      <c r="F696" s="101">
        <v>7014</v>
      </c>
      <c r="G696" s="101">
        <v>3553</v>
      </c>
      <c r="H696" s="101">
        <v>3461</v>
      </c>
      <c r="I696" s="101">
        <v>1516</v>
      </c>
      <c r="J696" s="101">
        <v>945</v>
      </c>
      <c r="K696" s="101">
        <v>571</v>
      </c>
    </row>
    <row r="697" ht="13.95" spans="2:11">
      <c r="B697" s="107">
        <v>28</v>
      </c>
      <c r="C697" s="101">
        <v>8281</v>
      </c>
      <c r="D697" s="101">
        <v>4235</v>
      </c>
      <c r="E697" s="101">
        <v>4046</v>
      </c>
      <c r="F697" s="101">
        <v>6952</v>
      </c>
      <c r="G697" s="101">
        <v>3463</v>
      </c>
      <c r="H697" s="101">
        <v>3489</v>
      </c>
      <c r="I697" s="101">
        <v>1329</v>
      </c>
      <c r="J697" s="101">
        <v>772</v>
      </c>
      <c r="K697" s="101">
        <v>557</v>
      </c>
    </row>
    <row r="698" ht="13.95" spans="2:11">
      <c r="B698" s="107">
        <v>29</v>
      </c>
      <c r="C698" s="101">
        <v>8196</v>
      </c>
      <c r="D698" s="101">
        <v>4118</v>
      </c>
      <c r="E698" s="101">
        <v>4078</v>
      </c>
      <c r="F698" s="101">
        <v>6886</v>
      </c>
      <c r="G698" s="101">
        <v>3432</v>
      </c>
      <c r="H698" s="101">
        <v>3454</v>
      </c>
      <c r="I698" s="101">
        <v>1310</v>
      </c>
      <c r="J698" s="101">
        <v>686</v>
      </c>
      <c r="K698" s="101">
        <v>624</v>
      </c>
    </row>
    <row r="699" ht="13.95" spans="2:11">
      <c r="B699" s="115" t="s">
        <v>352</v>
      </c>
      <c r="C699" s="116">
        <v>41275</v>
      </c>
      <c r="D699" s="116">
        <v>21694</v>
      </c>
      <c r="E699" s="116">
        <v>19581</v>
      </c>
      <c r="F699" s="116">
        <v>33887</v>
      </c>
      <c r="G699" s="116">
        <v>17132</v>
      </c>
      <c r="H699" s="116">
        <v>16755</v>
      </c>
      <c r="I699" s="116">
        <v>7388</v>
      </c>
      <c r="J699" s="116">
        <v>4562</v>
      </c>
      <c r="K699" s="116">
        <v>2826</v>
      </c>
    </row>
    <row r="700" ht="13.95" spans="2:11">
      <c r="B700" s="107">
        <v>30</v>
      </c>
      <c r="C700" s="101">
        <v>9375</v>
      </c>
      <c r="D700" s="101">
        <v>4571</v>
      </c>
      <c r="E700" s="101">
        <v>4804</v>
      </c>
      <c r="F700" s="101">
        <v>8098</v>
      </c>
      <c r="G700" s="101">
        <v>3985</v>
      </c>
      <c r="H700" s="101">
        <v>4113</v>
      </c>
      <c r="I700" s="101">
        <v>1277</v>
      </c>
      <c r="J700" s="101">
        <v>586</v>
      </c>
      <c r="K700" s="101">
        <v>691</v>
      </c>
    </row>
    <row r="701" ht="13.95" spans="2:11">
      <c r="B701" s="107">
        <v>31</v>
      </c>
      <c r="C701" s="101">
        <v>11400</v>
      </c>
      <c r="D701" s="101">
        <v>5616</v>
      </c>
      <c r="E701" s="101">
        <v>5784</v>
      </c>
      <c r="F701" s="101">
        <v>9711</v>
      </c>
      <c r="G701" s="101">
        <v>4832</v>
      </c>
      <c r="H701" s="101">
        <v>4879</v>
      </c>
      <c r="I701" s="101">
        <v>1689</v>
      </c>
      <c r="J701" s="101">
        <v>784</v>
      </c>
      <c r="K701" s="101">
        <v>905</v>
      </c>
    </row>
    <row r="702" ht="13.95" spans="2:11">
      <c r="B702" s="107">
        <v>32</v>
      </c>
      <c r="C702" s="101">
        <v>13435</v>
      </c>
      <c r="D702" s="101">
        <v>6781</v>
      </c>
      <c r="E702" s="101">
        <v>6654</v>
      </c>
      <c r="F702" s="101">
        <v>11227</v>
      </c>
      <c r="G702" s="101">
        <v>5616</v>
      </c>
      <c r="H702" s="101">
        <v>5611</v>
      </c>
      <c r="I702" s="101">
        <v>2208</v>
      </c>
      <c r="J702" s="101">
        <v>1165</v>
      </c>
      <c r="K702" s="101">
        <v>1043</v>
      </c>
    </row>
    <row r="703" ht="13.95" spans="2:11">
      <c r="B703" s="107">
        <v>33</v>
      </c>
      <c r="C703" s="101">
        <v>14720</v>
      </c>
      <c r="D703" s="101">
        <v>7470</v>
      </c>
      <c r="E703" s="101">
        <v>7250</v>
      </c>
      <c r="F703" s="101">
        <v>12181</v>
      </c>
      <c r="G703" s="101">
        <v>6076</v>
      </c>
      <c r="H703" s="101">
        <v>6105</v>
      </c>
      <c r="I703" s="101">
        <v>2539</v>
      </c>
      <c r="J703" s="101">
        <v>1394</v>
      </c>
      <c r="K703" s="101">
        <v>1145</v>
      </c>
    </row>
    <row r="704" ht="13.95" spans="2:11">
      <c r="B704" s="107">
        <v>34</v>
      </c>
      <c r="C704" s="101">
        <v>16326</v>
      </c>
      <c r="D704" s="101">
        <v>8175</v>
      </c>
      <c r="E704" s="101">
        <v>8151</v>
      </c>
      <c r="F704" s="101">
        <v>13404</v>
      </c>
      <c r="G704" s="101">
        <v>6563</v>
      </c>
      <c r="H704" s="101">
        <v>6841</v>
      </c>
      <c r="I704" s="101">
        <v>2922</v>
      </c>
      <c r="J704" s="101">
        <v>1612</v>
      </c>
      <c r="K704" s="101">
        <v>1310</v>
      </c>
    </row>
    <row r="705" ht="13.95" spans="2:11">
      <c r="B705" s="115" t="s">
        <v>355</v>
      </c>
      <c r="C705" s="116">
        <v>65256</v>
      </c>
      <c r="D705" s="116">
        <v>32613</v>
      </c>
      <c r="E705" s="116">
        <v>32643</v>
      </c>
      <c r="F705" s="116">
        <v>54621</v>
      </c>
      <c r="G705" s="116">
        <v>27072</v>
      </c>
      <c r="H705" s="116">
        <v>27549</v>
      </c>
      <c r="I705" s="116">
        <v>10635</v>
      </c>
      <c r="J705" s="116">
        <v>5541</v>
      </c>
      <c r="K705" s="116">
        <v>5094</v>
      </c>
    </row>
    <row r="706" ht="13.95" spans="2:11">
      <c r="B706" s="107">
        <v>35</v>
      </c>
      <c r="C706" s="101">
        <v>17601</v>
      </c>
      <c r="D706" s="101">
        <v>8872</v>
      </c>
      <c r="E706" s="101">
        <v>8729</v>
      </c>
      <c r="F706" s="101">
        <v>14319</v>
      </c>
      <c r="G706" s="101">
        <v>7080</v>
      </c>
      <c r="H706" s="101">
        <v>7239</v>
      </c>
      <c r="I706" s="101">
        <v>3282</v>
      </c>
      <c r="J706" s="101">
        <v>1792</v>
      </c>
      <c r="K706" s="101">
        <v>1490</v>
      </c>
    </row>
    <row r="707" ht="13.95" spans="2:11">
      <c r="B707" s="107">
        <v>36</v>
      </c>
      <c r="C707" s="101">
        <v>17498</v>
      </c>
      <c r="D707" s="101">
        <v>8571</v>
      </c>
      <c r="E707" s="101">
        <v>8927</v>
      </c>
      <c r="F707" s="101">
        <v>14420</v>
      </c>
      <c r="G707" s="101">
        <v>6968</v>
      </c>
      <c r="H707" s="101">
        <v>7452</v>
      </c>
      <c r="I707" s="101">
        <v>3078</v>
      </c>
      <c r="J707" s="101">
        <v>1603</v>
      </c>
      <c r="K707" s="101">
        <v>1475</v>
      </c>
    </row>
    <row r="708" ht="13.95" spans="2:11">
      <c r="B708" s="107">
        <v>37</v>
      </c>
      <c r="C708" s="101">
        <v>16721</v>
      </c>
      <c r="D708" s="101">
        <v>8373</v>
      </c>
      <c r="E708" s="101">
        <v>8348</v>
      </c>
      <c r="F708" s="101">
        <v>13814</v>
      </c>
      <c r="G708" s="101">
        <v>6876</v>
      </c>
      <c r="H708" s="101">
        <v>6938</v>
      </c>
      <c r="I708" s="101">
        <v>2907</v>
      </c>
      <c r="J708" s="101">
        <v>1497</v>
      </c>
      <c r="K708" s="101">
        <v>1410</v>
      </c>
    </row>
    <row r="709" ht="13.95" spans="2:11">
      <c r="B709" s="107">
        <v>38</v>
      </c>
      <c r="C709" s="101">
        <v>16658</v>
      </c>
      <c r="D709" s="101">
        <v>8379</v>
      </c>
      <c r="E709" s="101">
        <v>8279</v>
      </c>
      <c r="F709" s="101">
        <v>13701</v>
      </c>
      <c r="G709" s="101">
        <v>6764</v>
      </c>
      <c r="H709" s="101">
        <v>6937</v>
      </c>
      <c r="I709" s="101">
        <v>2957</v>
      </c>
      <c r="J709" s="101">
        <v>1615</v>
      </c>
      <c r="K709" s="101">
        <v>1342</v>
      </c>
    </row>
    <row r="710" ht="13.95" spans="2:11">
      <c r="B710" s="107">
        <v>39</v>
      </c>
      <c r="C710" s="101">
        <v>17576</v>
      </c>
      <c r="D710" s="101">
        <v>8631</v>
      </c>
      <c r="E710" s="101">
        <v>8945</v>
      </c>
      <c r="F710" s="101">
        <v>14359</v>
      </c>
      <c r="G710" s="101">
        <v>6933</v>
      </c>
      <c r="H710" s="101">
        <v>7426</v>
      </c>
      <c r="I710" s="101">
        <v>3217</v>
      </c>
      <c r="J710" s="101">
        <v>1698</v>
      </c>
      <c r="K710" s="101">
        <v>1519</v>
      </c>
    </row>
    <row r="711" ht="13.95" spans="2:11">
      <c r="B711" s="115" t="s">
        <v>357</v>
      </c>
      <c r="C711" s="116">
        <v>86054</v>
      </c>
      <c r="D711" s="116">
        <v>42826</v>
      </c>
      <c r="E711" s="116">
        <v>43228</v>
      </c>
      <c r="F711" s="116">
        <v>70613</v>
      </c>
      <c r="G711" s="116">
        <v>34621</v>
      </c>
      <c r="H711" s="116">
        <v>35992</v>
      </c>
      <c r="I711" s="116">
        <v>15441</v>
      </c>
      <c r="J711" s="116">
        <v>8205</v>
      </c>
      <c r="K711" s="116">
        <v>7236</v>
      </c>
    </row>
    <row r="712" ht="13.95" spans="2:11">
      <c r="B712" s="107">
        <v>40</v>
      </c>
      <c r="C712" s="101">
        <v>17145</v>
      </c>
      <c r="D712" s="101">
        <v>8317</v>
      </c>
      <c r="E712" s="101">
        <v>8828</v>
      </c>
      <c r="F712" s="101">
        <v>13928</v>
      </c>
      <c r="G712" s="101">
        <v>6663</v>
      </c>
      <c r="H712" s="101">
        <v>7265</v>
      </c>
      <c r="I712" s="101">
        <v>3217</v>
      </c>
      <c r="J712" s="101">
        <v>1654</v>
      </c>
      <c r="K712" s="101">
        <v>1563</v>
      </c>
    </row>
    <row r="713" ht="13.95" spans="2:11">
      <c r="B713" s="107">
        <v>41</v>
      </c>
      <c r="C713" s="101">
        <v>15985</v>
      </c>
      <c r="D713" s="101">
        <v>7726</v>
      </c>
      <c r="E713" s="101">
        <v>8259</v>
      </c>
      <c r="F713" s="101">
        <v>12861</v>
      </c>
      <c r="G713" s="101">
        <v>6098</v>
      </c>
      <c r="H713" s="101">
        <v>6763</v>
      </c>
      <c r="I713" s="101">
        <v>3124</v>
      </c>
      <c r="J713" s="101">
        <v>1628</v>
      </c>
      <c r="K713" s="101">
        <v>1496</v>
      </c>
    </row>
    <row r="714" ht="13.95" spans="2:11">
      <c r="B714" s="107">
        <v>42</v>
      </c>
      <c r="C714" s="101">
        <v>16602</v>
      </c>
      <c r="D714" s="101">
        <v>7993</v>
      </c>
      <c r="E714" s="101">
        <v>8609</v>
      </c>
      <c r="F714" s="101">
        <v>13390</v>
      </c>
      <c r="G714" s="101">
        <v>6347</v>
      </c>
      <c r="H714" s="101">
        <v>7043</v>
      </c>
      <c r="I714" s="101">
        <v>3212</v>
      </c>
      <c r="J714" s="101">
        <v>1646</v>
      </c>
      <c r="K714" s="101">
        <v>1566</v>
      </c>
    </row>
    <row r="715" ht="13.95" spans="2:11">
      <c r="B715" s="107">
        <v>43</v>
      </c>
      <c r="C715" s="101">
        <v>15657</v>
      </c>
      <c r="D715" s="101">
        <v>7701</v>
      </c>
      <c r="E715" s="101">
        <v>7956</v>
      </c>
      <c r="F715" s="101">
        <v>12478</v>
      </c>
      <c r="G715" s="101">
        <v>5975</v>
      </c>
      <c r="H715" s="101">
        <v>6503</v>
      </c>
      <c r="I715" s="101">
        <v>3179</v>
      </c>
      <c r="J715" s="101">
        <v>1726</v>
      </c>
      <c r="K715" s="101">
        <v>1453</v>
      </c>
    </row>
    <row r="716" ht="13.95" spans="2:11">
      <c r="B716" s="107">
        <v>44</v>
      </c>
      <c r="C716" s="101">
        <v>15954</v>
      </c>
      <c r="D716" s="101">
        <v>7726</v>
      </c>
      <c r="E716" s="101">
        <v>8228</v>
      </c>
      <c r="F716" s="101">
        <v>12705</v>
      </c>
      <c r="G716" s="101">
        <v>6020</v>
      </c>
      <c r="H716" s="101">
        <v>6685</v>
      </c>
      <c r="I716" s="101">
        <v>3249</v>
      </c>
      <c r="J716" s="101">
        <v>1706</v>
      </c>
      <c r="K716" s="101">
        <v>1543</v>
      </c>
    </row>
    <row r="717" ht="13.95" spans="2:11">
      <c r="B717" s="115" t="s">
        <v>359</v>
      </c>
      <c r="C717" s="116">
        <v>81343</v>
      </c>
      <c r="D717" s="116">
        <v>39463</v>
      </c>
      <c r="E717" s="116">
        <v>41880</v>
      </c>
      <c r="F717" s="116">
        <v>65362</v>
      </c>
      <c r="G717" s="116">
        <v>31103</v>
      </c>
      <c r="H717" s="116">
        <v>34259</v>
      </c>
      <c r="I717" s="116">
        <v>15981</v>
      </c>
      <c r="J717" s="116">
        <v>8360</v>
      </c>
      <c r="K717" s="116">
        <v>7621</v>
      </c>
    </row>
    <row r="718" ht="13.95" spans="2:11">
      <c r="B718" s="107">
        <v>45</v>
      </c>
      <c r="C718" s="101">
        <v>15739</v>
      </c>
      <c r="D718" s="101">
        <v>7557</v>
      </c>
      <c r="E718" s="101">
        <v>8182</v>
      </c>
      <c r="F718" s="101">
        <v>12461</v>
      </c>
      <c r="G718" s="101">
        <v>5811</v>
      </c>
      <c r="H718" s="101">
        <v>6650</v>
      </c>
      <c r="I718" s="101">
        <v>3278</v>
      </c>
      <c r="J718" s="101">
        <v>1746</v>
      </c>
      <c r="K718" s="101">
        <v>1532</v>
      </c>
    </row>
    <row r="719" ht="13.95" spans="2:11">
      <c r="B719" s="107">
        <v>46</v>
      </c>
      <c r="C719" s="101">
        <v>16090</v>
      </c>
      <c r="D719" s="101">
        <v>7691</v>
      </c>
      <c r="E719" s="101">
        <v>8399</v>
      </c>
      <c r="F719" s="101">
        <v>12743</v>
      </c>
      <c r="G719" s="101">
        <v>5939</v>
      </c>
      <c r="H719" s="101">
        <v>6804</v>
      </c>
      <c r="I719" s="101">
        <v>3347</v>
      </c>
      <c r="J719" s="101">
        <v>1752</v>
      </c>
      <c r="K719" s="101">
        <v>1595</v>
      </c>
    </row>
    <row r="720" ht="13.95" spans="2:11">
      <c r="B720" s="107">
        <v>47</v>
      </c>
      <c r="C720" s="101">
        <v>15826</v>
      </c>
      <c r="D720" s="101">
        <v>7570</v>
      </c>
      <c r="E720" s="101">
        <v>8256</v>
      </c>
      <c r="F720" s="101">
        <v>12474</v>
      </c>
      <c r="G720" s="101">
        <v>5818</v>
      </c>
      <c r="H720" s="101">
        <v>6656</v>
      </c>
      <c r="I720" s="101">
        <v>3352</v>
      </c>
      <c r="J720" s="101">
        <v>1752</v>
      </c>
      <c r="K720" s="101">
        <v>1600</v>
      </c>
    </row>
    <row r="721" ht="13.95" spans="2:11">
      <c r="B721" s="107">
        <v>48</v>
      </c>
      <c r="C721" s="101">
        <v>14676</v>
      </c>
      <c r="D721" s="101">
        <v>6993</v>
      </c>
      <c r="E721" s="101">
        <v>7683</v>
      </c>
      <c r="F721" s="101">
        <v>11318</v>
      </c>
      <c r="G721" s="101">
        <v>5263</v>
      </c>
      <c r="H721" s="101">
        <v>6055</v>
      </c>
      <c r="I721" s="101">
        <v>3358</v>
      </c>
      <c r="J721" s="101">
        <v>1730</v>
      </c>
      <c r="K721" s="101">
        <v>1628</v>
      </c>
    </row>
    <row r="722" ht="13.95" spans="2:11">
      <c r="B722" s="107">
        <v>49</v>
      </c>
      <c r="C722" s="101">
        <v>13684</v>
      </c>
      <c r="D722" s="101">
        <v>6482</v>
      </c>
      <c r="E722" s="101">
        <v>7202</v>
      </c>
      <c r="F722" s="101">
        <v>10503</v>
      </c>
      <c r="G722" s="101">
        <v>4948</v>
      </c>
      <c r="H722" s="101">
        <v>5555</v>
      </c>
      <c r="I722" s="101">
        <v>3181</v>
      </c>
      <c r="J722" s="101">
        <v>1534</v>
      </c>
      <c r="K722" s="101">
        <v>1647</v>
      </c>
    </row>
    <row r="723" ht="13.95" spans="2:11">
      <c r="B723" s="115" t="s">
        <v>360</v>
      </c>
      <c r="C723" s="116">
        <v>76015</v>
      </c>
      <c r="D723" s="116">
        <v>36293</v>
      </c>
      <c r="E723" s="116">
        <v>39722</v>
      </c>
      <c r="F723" s="116">
        <v>59499</v>
      </c>
      <c r="G723" s="116">
        <v>27779</v>
      </c>
      <c r="H723" s="116">
        <v>31720</v>
      </c>
      <c r="I723" s="116">
        <v>16516</v>
      </c>
      <c r="J723" s="116">
        <v>8514</v>
      </c>
      <c r="K723" s="116">
        <v>8002</v>
      </c>
    </row>
    <row r="724" ht="13.95" spans="2:11">
      <c r="B724" s="107">
        <v>50</v>
      </c>
      <c r="C724" s="101">
        <v>13876</v>
      </c>
      <c r="D724" s="101">
        <v>6520</v>
      </c>
      <c r="E724" s="101">
        <v>7356</v>
      </c>
      <c r="F724" s="101">
        <v>10756</v>
      </c>
      <c r="G724" s="101">
        <v>4938</v>
      </c>
      <c r="H724" s="101">
        <v>5818</v>
      </c>
      <c r="I724" s="101">
        <v>3120</v>
      </c>
      <c r="J724" s="101">
        <v>1582</v>
      </c>
      <c r="K724" s="101">
        <v>1538</v>
      </c>
    </row>
    <row r="725" ht="13.95" spans="2:11">
      <c r="B725" s="107">
        <v>51</v>
      </c>
      <c r="C725" s="101">
        <v>12878</v>
      </c>
      <c r="D725" s="101">
        <v>6037</v>
      </c>
      <c r="E725" s="101">
        <v>6841</v>
      </c>
      <c r="F725" s="101">
        <v>9922</v>
      </c>
      <c r="G725" s="101">
        <v>4596</v>
      </c>
      <c r="H725" s="101">
        <v>5326</v>
      </c>
      <c r="I725" s="101">
        <v>2956</v>
      </c>
      <c r="J725" s="101">
        <v>1441</v>
      </c>
      <c r="K725" s="101">
        <v>1515</v>
      </c>
    </row>
    <row r="726" ht="13.95" spans="2:11">
      <c r="B726" s="107">
        <v>52</v>
      </c>
      <c r="C726" s="101">
        <v>12703</v>
      </c>
      <c r="D726" s="101">
        <v>5979</v>
      </c>
      <c r="E726" s="101">
        <v>6724</v>
      </c>
      <c r="F726" s="101">
        <v>9569</v>
      </c>
      <c r="G726" s="101">
        <v>4413</v>
      </c>
      <c r="H726" s="101">
        <v>5156</v>
      </c>
      <c r="I726" s="101">
        <v>3134</v>
      </c>
      <c r="J726" s="101">
        <v>1566</v>
      </c>
      <c r="K726" s="101">
        <v>1568</v>
      </c>
    </row>
    <row r="727" ht="13.95" spans="2:11">
      <c r="B727" s="107">
        <v>53</v>
      </c>
      <c r="C727" s="101">
        <v>11901</v>
      </c>
      <c r="D727" s="101">
        <v>5568</v>
      </c>
      <c r="E727" s="101">
        <v>6333</v>
      </c>
      <c r="F727" s="101">
        <v>8850</v>
      </c>
      <c r="G727" s="101">
        <v>4102</v>
      </c>
      <c r="H727" s="101">
        <v>4748</v>
      </c>
      <c r="I727" s="101">
        <v>3051</v>
      </c>
      <c r="J727" s="101">
        <v>1466</v>
      </c>
      <c r="K727" s="101">
        <v>1585</v>
      </c>
    </row>
    <row r="728" ht="13.95" spans="2:11">
      <c r="B728" s="107">
        <v>54</v>
      </c>
      <c r="C728" s="101">
        <v>11736</v>
      </c>
      <c r="D728" s="101">
        <v>5306</v>
      </c>
      <c r="E728" s="101">
        <v>6430</v>
      </c>
      <c r="F728" s="101">
        <v>8728</v>
      </c>
      <c r="G728" s="101">
        <v>3894</v>
      </c>
      <c r="H728" s="101">
        <v>4834</v>
      </c>
      <c r="I728" s="101">
        <v>3008</v>
      </c>
      <c r="J728" s="101">
        <v>1412</v>
      </c>
      <c r="K728" s="101">
        <v>1596</v>
      </c>
    </row>
    <row r="729" ht="13.95" spans="2:11">
      <c r="B729" s="115" t="s">
        <v>362</v>
      </c>
      <c r="C729" s="116">
        <v>63094</v>
      </c>
      <c r="D729" s="116">
        <v>29410</v>
      </c>
      <c r="E729" s="116">
        <v>33684</v>
      </c>
      <c r="F729" s="116">
        <v>47825</v>
      </c>
      <c r="G729" s="116">
        <v>21943</v>
      </c>
      <c r="H729" s="116">
        <v>25882</v>
      </c>
      <c r="I729" s="116">
        <v>15269</v>
      </c>
      <c r="J729" s="116">
        <v>7467</v>
      </c>
      <c r="K729" s="116">
        <v>7802</v>
      </c>
    </row>
    <row r="730" ht="13.95" spans="2:11">
      <c r="B730" s="107">
        <v>55</v>
      </c>
      <c r="C730" s="101">
        <v>11906</v>
      </c>
      <c r="D730" s="101">
        <v>5439</v>
      </c>
      <c r="E730" s="101">
        <v>6467</v>
      </c>
      <c r="F730" s="101">
        <v>8495</v>
      </c>
      <c r="G730" s="101">
        <v>3824</v>
      </c>
      <c r="H730" s="101">
        <v>4671</v>
      </c>
      <c r="I730" s="101">
        <v>3411</v>
      </c>
      <c r="J730" s="101">
        <v>1615</v>
      </c>
      <c r="K730" s="101">
        <v>1796</v>
      </c>
    </row>
    <row r="731" ht="13.95" spans="2:11">
      <c r="B731" s="107">
        <v>56</v>
      </c>
      <c r="C731" s="101">
        <v>12512</v>
      </c>
      <c r="D731" s="101">
        <v>5702</v>
      </c>
      <c r="E731" s="101">
        <v>6810</v>
      </c>
      <c r="F731" s="101">
        <v>8950</v>
      </c>
      <c r="G731" s="101">
        <v>4028</v>
      </c>
      <c r="H731" s="101">
        <v>4922</v>
      </c>
      <c r="I731" s="101">
        <v>3562</v>
      </c>
      <c r="J731" s="101">
        <v>1674</v>
      </c>
      <c r="K731" s="101">
        <v>1888</v>
      </c>
    </row>
    <row r="732" ht="13.95" spans="2:11">
      <c r="B732" s="107">
        <v>57</v>
      </c>
      <c r="C732" s="101">
        <v>12975</v>
      </c>
      <c r="D732" s="101">
        <v>5868</v>
      </c>
      <c r="E732" s="101">
        <v>7107</v>
      </c>
      <c r="F732" s="101">
        <v>9325</v>
      </c>
      <c r="G732" s="101">
        <v>4189</v>
      </c>
      <c r="H732" s="101">
        <v>5136</v>
      </c>
      <c r="I732" s="101">
        <v>3650</v>
      </c>
      <c r="J732" s="101">
        <v>1679</v>
      </c>
      <c r="K732" s="101">
        <v>1971</v>
      </c>
    </row>
    <row r="733" ht="13.95" spans="2:11">
      <c r="B733" s="107">
        <v>58</v>
      </c>
      <c r="C733" s="101">
        <v>12822</v>
      </c>
      <c r="D733" s="101">
        <v>5770</v>
      </c>
      <c r="E733" s="101">
        <v>7052</v>
      </c>
      <c r="F733" s="101">
        <v>9011</v>
      </c>
      <c r="G733" s="101">
        <v>3984</v>
      </c>
      <c r="H733" s="101">
        <v>5027</v>
      </c>
      <c r="I733" s="101">
        <v>3811</v>
      </c>
      <c r="J733" s="101">
        <v>1786</v>
      </c>
      <c r="K733" s="101">
        <v>2025</v>
      </c>
    </row>
    <row r="734" ht="13.95" spans="2:11">
      <c r="B734" s="107">
        <v>59</v>
      </c>
      <c r="C734" s="101">
        <v>13819</v>
      </c>
      <c r="D734" s="101">
        <v>5964</v>
      </c>
      <c r="E734" s="101">
        <v>7855</v>
      </c>
      <c r="F734" s="101">
        <v>9675</v>
      </c>
      <c r="G734" s="101">
        <v>4089</v>
      </c>
      <c r="H734" s="101">
        <v>5586</v>
      </c>
      <c r="I734" s="101">
        <v>4144</v>
      </c>
      <c r="J734" s="101">
        <v>1875</v>
      </c>
      <c r="K734" s="101">
        <v>2269</v>
      </c>
    </row>
    <row r="735" ht="13.95" spans="2:11">
      <c r="B735" s="115" t="s">
        <v>363</v>
      </c>
      <c r="C735" s="116">
        <v>64034</v>
      </c>
      <c r="D735" s="116">
        <v>28743</v>
      </c>
      <c r="E735" s="116">
        <v>35291</v>
      </c>
      <c r="F735" s="116">
        <v>45456</v>
      </c>
      <c r="G735" s="116">
        <v>20114</v>
      </c>
      <c r="H735" s="116">
        <v>25342</v>
      </c>
      <c r="I735" s="116">
        <v>18578</v>
      </c>
      <c r="J735" s="116">
        <v>8629</v>
      </c>
      <c r="K735" s="116">
        <v>9949</v>
      </c>
    </row>
    <row r="736" ht="13.95" spans="2:11">
      <c r="B736" s="107">
        <v>60</v>
      </c>
      <c r="C736" s="101">
        <v>14019</v>
      </c>
      <c r="D736" s="101">
        <v>5984</v>
      </c>
      <c r="E736" s="101">
        <v>8035</v>
      </c>
      <c r="F736" s="101">
        <v>9730</v>
      </c>
      <c r="G736" s="101">
        <v>4026</v>
      </c>
      <c r="H736" s="101">
        <v>5704</v>
      </c>
      <c r="I736" s="101">
        <v>4289</v>
      </c>
      <c r="J736" s="101">
        <v>1958</v>
      </c>
      <c r="K736" s="101">
        <v>2331</v>
      </c>
    </row>
    <row r="737" ht="13.95" spans="2:11">
      <c r="B737" s="107">
        <v>61</v>
      </c>
      <c r="C737" s="101">
        <v>15232</v>
      </c>
      <c r="D737" s="101">
        <v>6549</v>
      </c>
      <c r="E737" s="101">
        <v>8683</v>
      </c>
      <c r="F737" s="101">
        <v>10612</v>
      </c>
      <c r="G737" s="101">
        <v>4393</v>
      </c>
      <c r="H737" s="101">
        <v>6219</v>
      </c>
      <c r="I737" s="101">
        <v>4620</v>
      </c>
      <c r="J737" s="101">
        <v>2156</v>
      </c>
      <c r="K737" s="101">
        <v>2464</v>
      </c>
    </row>
    <row r="738" ht="13.95" spans="2:11">
      <c r="B738" s="107">
        <v>62</v>
      </c>
      <c r="C738" s="101">
        <v>15839</v>
      </c>
      <c r="D738" s="101">
        <v>6703</v>
      </c>
      <c r="E738" s="101">
        <v>9136</v>
      </c>
      <c r="F738" s="101">
        <v>10907</v>
      </c>
      <c r="G738" s="101">
        <v>4496</v>
      </c>
      <c r="H738" s="101">
        <v>6411</v>
      </c>
      <c r="I738" s="101">
        <v>4932</v>
      </c>
      <c r="J738" s="101">
        <v>2207</v>
      </c>
      <c r="K738" s="101">
        <v>2725</v>
      </c>
    </row>
    <row r="739" ht="13.95" spans="2:11">
      <c r="B739" s="107">
        <v>63</v>
      </c>
      <c r="C739" s="101">
        <v>15071</v>
      </c>
      <c r="D739" s="101">
        <v>6201</v>
      </c>
      <c r="E739" s="101">
        <v>8870</v>
      </c>
      <c r="F739" s="101">
        <v>10390</v>
      </c>
      <c r="G739" s="101">
        <v>4122</v>
      </c>
      <c r="H739" s="101">
        <v>6268</v>
      </c>
      <c r="I739" s="101">
        <v>4681</v>
      </c>
      <c r="J739" s="101">
        <v>2079</v>
      </c>
      <c r="K739" s="101">
        <v>2602</v>
      </c>
    </row>
    <row r="740" ht="13.95" spans="2:11">
      <c r="B740" s="107">
        <v>64</v>
      </c>
      <c r="C740" s="101">
        <v>15038</v>
      </c>
      <c r="D740" s="101">
        <v>6051</v>
      </c>
      <c r="E740" s="101">
        <v>8987</v>
      </c>
      <c r="F740" s="101">
        <v>10441</v>
      </c>
      <c r="G740" s="101">
        <v>4040</v>
      </c>
      <c r="H740" s="101">
        <v>6401</v>
      </c>
      <c r="I740" s="101">
        <v>4597</v>
      </c>
      <c r="J740" s="101">
        <v>2011</v>
      </c>
      <c r="K740" s="101">
        <v>2586</v>
      </c>
    </row>
    <row r="741" ht="13.95" spans="2:11">
      <c r="B741" s="115" t="s">
        <v>364</v>
      </c>
      <c r="C741" s="116">
        <v>75199</v>
      </c>
      <c r="D741" s="116">
        <v>31488</v>
      </c>
      <c r="E741" s="116">
        <v>43711</v>
      </c>
      <c r="F741" s="116">
        <v>52080</v>
      </c>
      <c r="G741" s="116">
        <v>21077</v>
      </c>
      <c r="H741" s="116">
        <v>31003</v>
      </c>
      <c r="I741" s="116">
        <v>23119</v>
      </c>
      <c r="J741" s="116">
        <v>10411</v>
      </c>
      <c r="K741" s="116">
        <v>12708</v>
      </c>
    </row>
    <row r="742" ht="13.95" spans="2:11">
      <c r="B742" s="107">
        <v>65</v>
      </c>
      <c r="C742" s="101">
        <v>14497</v>
      </c>
      <c r="D742" s="101">
        <v>5579</v>
      </c>
      <c r="E742" s="101">
        <v>8918</v>
      </c>
      <c r="F742" s="101">
        <v>10052</v>
      </c>
      <c r="G742" s="101">
        <v>3700</v>
      </c>
      <c r="H742" s="101">
        <v>6352</v>
      </c>
      <c r="I742" s="101">
        <v>4445</v>
      </c>
      <c r="J742" s="101">
        <v>1879</v>
      </c>
      <c r="K742" s="101">
        <v>2566</v>
      </c>
    </row>
    <row r="743" ht="13.95" spans="2:11">
      <c r="B743" s="107">
        <v>66</v>
      </c>
      <c r="C743" s="101">
        <v>14429</v>
      </c>
      <c r="D743" s="101">
        <v>5606</v>
      </c>
      <c r="E743" s="101">
        <v>8823</v>
      </c>
      <c r="F743" s="101">
        <v>10210</v>
      </c>
      <c r="G743" s="101">
        <v>3823</v>
      </c>
      <c r="H743" s="101">
        <v>6387</v>
      </c>
      <c r="I743" s="101">
        <v>4219</v>
      </c>
      <c r="J743" s="101">
        <v>1783</v>
      </c>
      <c r="K743" s="101">
        <v>2436</v>
      </c>
    </row>
    <row r="744" ht="13.95" spans="2:11">
      <c r="B744" s="107">
        <v>67</v>
      </c>
      <c r="C744" s="101">
        <v>14745</v>
      </c>
      <c r="D744" s="101">
        <v>5595</v>
      </c>
      <c r="E744" s="101">
        <v>9150</v>
      </c>
      <c r="F744" s="101">
        <v>10334</v>
      </c>
      <c r="G744" s="101">
        <v>3773</v>
      </c>
      <c r="H744" s="101">
        <v>6561</v>
      </c>
      <c r="I744" s="101">
        <v>4411</v>
      </c>
      <c r="J744" s="101">
        <v>1822</v>
      </c>
      <c r="K744" s="101">
        <v>2589</v>
      </c>
    </row>
    <row r="745" ht="13.95" spans="2:11">
      <c r="B745" s="107">
        <v>68</v>
      </c>
      <c r="C745" s="101">
        <v>14480</v>
      </c>
      <c r="D745" s="101">
        <v>5251</v>
      </c>
      <c r="E745" s="101">
        <v>9229</v>
      </c>
      <c r="F745" s="101">
        <v>10347</v>
      </c>
      <c r="G745" s="101">
        <v>3619</v>
      </c>
      <c r="H745" s="101">
        <v>6728</v>
      </c>
      <c r="I745" s="101">
        <v>4133</v>
      </c>
      <c r="J745" s="101">
        <v>1632</v>
      </c>
      <c r="K745" s="101">
        <v>2501</v>
      </c>
    </row>
    <row r="746" ht="13.95" spans="2:11">
      <c r="B746" s="107">
        <v>69</v>
      </c>
      <c r="C746" s="101">
        <v>12475</v>
      </c>
      <c r="D746" s="101">
        <v>4600</v>
      </c>
      <c r="E746" s="101">
        <v>7875</v>
      </c>
      <c r="F746" s="101">
        <v>8947</v>
      </c>
      <c r="G746" s="101">
        <v>3169</v>
      </c>
      <c r="H746" s="101">
        <v>5778</v>
      </c>
      <c r="I746" s="101">
        <v>3528</v>
      </c>
      <c r="J746" s="101">
        <v>1431</v>
      </c>
      <c r="K746" s="101">
        <v>2097</v>
      </c>
    </row>
    <row r="747" ht="13.95" spans="2:11">
      <c r="B747" s="115" t="s">
        <v>365</v>
      </c>
      <c r="C747" s="116">
        <v>70626</v>
      </c>
      <c r="D747" s="116">
        <v>26631</v>
      </c>
      <c r="E747" s="116">
        <v>43995</v>
      </c>
      <c r="F747" s="116">
        <v>49890</v>
      </c>
      <c r="G747" s="116">
        <v>18084</v>
      </c>
      <c r="H747" s="116">
        <v>31806</v>
      </c>
      <c r="I747" s="116">
        <v>20736</v>
      </c>
      <c r="J747" s="116">
        <v>8547</v>
      </c>
      <c r="K747" s="116">
        <v>12189</v>
      </c>
    </row>
    <row r="748" ht="13.95" spans="2:11">
      <c r="B748" s="107">
        <v>70</v>
      </c>
      <c r="C748" s="101">
        <v>12412</v>
      </c>
      <c r="D748" s="101">
        <v>4399</v>
      </c>
      <c r="E748" s="101">
        <v>8013</v>
      </c>
      <c r="F748" s="101">
        <v>9037</v>
      </c>
      <c r="G748" s="101">
        <v>3059</v>
      </c>
      <c r="H748" s="101">
        <v>5978</v>
      </c>
      <c r="I748" s="101">
        <v>3375</v>
      </c>
      <c r="J748" s="101">
        <v>1340</v>
      </c>
      <c r="K748" s="101">
        <v>2035</v>
      </c>
    </row>
    <row r="749" ht="13.95" spans="2:11">
      <c r="B749" s="107">
        <v>71</v>
      </c>
      <c r="C749" s="101">
        <v>11712</v>
      </c>
      <c r="D749" s="101">
        <v>4099</v>
      </c>
      <c r="E749" s="101">
        <v>7613</v>
      </c>
      <c r="F749" s="101">
        <v>8693</v>
      </c>
      <c r="G749" s="101">
        <v>2931</v>
      </c>
      <c r="H749" s="101">
        <v>5762</v>
      </c>
      <c r="I749" s="101">
        <v>3019</v>
      </c>
      <c r="J749" s="101">
        <v>1168</v>
      </c>
      <c r="K749" s="101">
        <v>1851</v>
      </c>
    </row>
    <row r="750" ht="13.95" spans="2:11">
      <c r="B750" s="107">
        <v>72</v>
      </c>
      <c r="C750" s="101">
        <v>10794</v>
      </c>
      <c r="D750" s="101">
        <v>3688</v>
      </c>
      <c r="E750" s="101">
        <v>7106</v>
      </c>
      <c r="F750" s="101">
        <v>8045</v>
      </c>
      <c r="G750" s="101">
        <v>2639</v>
      </c>
      <c r="H750" s="101">
        <v>5406</v>
      </c>
      <c r="I750" s="101">
        <v>2749</v>
      </c>
      <c r="J750" s="101">
        <v>1049</v>
      </c>
      <c r="K750" s="101">
        <v>1700</v>
      </c>
    </row>
    <row r="751" ht="13.95" spans="2:11">
      <c r="B751" s="107">
        <v>73</v>
      </c>
      <c r="C751" s="101">
        <v>11129</v>
      </c>
      <c r="D751" s="101">
        <v>3656</v>
      </c>
      <c r="E751" s="101">
        <v>7473</v>
      </c>
      <c r="F751" s="101">
        <v>8320</v>
      </c>
      <c r="G751" s="101">
        <v>2608</v>
      </c>
      <c r="H751" s="101">
        <v>5712</v>
      </c>
      <c r="I751" s="101">
        <v>2809</v>
      </c>
      <c r="J751" s="101">
        <v>1048</v>
      </c>
      <c r="K751" s="101">
        <v>1761</v>
      </c>
    </row>
    <row r="752" ht="13.95" spans="2:11">
      <c r="B752" s="107">
        <v>74</v>
      </c>
      <c r="C752" s="101">
        <v>7619</v>
      </c>
      <c r="D752" s="101">
        <v>2465</v>
      </c>
      <c r="E752" s="101">
        <v>5154</v>
      </c>
      <c r="F752" s="101">
        <v>5749</v>
      </c>
      <c r="G752" s="101">
        <v>1787</v>
      </c>
      <c r="H752" s="101">
        <v>3962</v>
      </c>
      <c r="I752" s="101">
        <v>1870</v>
      </c>
      <c r="J752" s="101">
        <v>678</v>
      </c>
      <c r="K752" s="101">
        <v>1192</v>
      </c>
    </row>
    <row r="753" ht="13.95" spans="2:11">
      <c r="B753" s="115" t="s">
        <v>366</v>
      </c>
      <c r="C753" s="116">
        <v>53666</v>
      </c>
      <c r="D753" s="116">
        <v>18307</v>
      </c>
      <c r="E753" s="116">
        <v>35359</v>
      </c>
      <c r="F753" s="116">
        <v>39844</v>
      </c>
      <c r="G753" s="116">
        <v>13024</v>
      </c>
      <c r="H753" s="116">
        <v>26820</v>
      </c>
      <c r="I753" s="116">
        <v>13822</v>
      </c>
      <c r="J753" s="116">
        <v>5283</v>
      </c>
      <c r="K753" s="116">
        <v>8539</v>
      </c>
    </row>
    <row r="754" ht="13.95" spans="2:11">
      <c r="B754" s="107">
        <v>75</v>
      </c>
      <c r="C754" s="101">
        <v>7590</v>
      </c>
      <c r="D754" s="101">
        <v>2427</v>
      </c>
      <c r="E754" s="101">
        <v>5163</v>
      </c>
      <c r="F754" s="101">
        <v>5841</v>
      </c>
      <c r="G754" s="101">
        <v>1795</v>
      </c>
      <c r="H754" s="101">
        <v>4046</v>
      </c>
      <c r="I754" s="101">
        <v>1749</v>
      </c>
      <c r="J754" s="101">
        <v>632</v>
      </c>
      <c r="K754" s="101">
        <v>1117</v>
      </c>
    </row>
    <row r="755" ht="13.95" spans="2:11">
      <c r="B755" s="107">
        <v>76</v>
      </c>
      <c r="C755" s="101">
        <v>6800</v>
      </c>
      <c r="D755" s="101">
        <v>2132</v>
      </c>
      <c r="E755" s="101">
        <v>4668</v>
      </c>
      <c r="F755" s="101">
        <v>5270</v>
      </c>
      <c r="G755" s="101">
        <v>1562</v>
      </c>
      <c r="H755" s="101">
        <v>3708</v>
      </c>
      <c r="I755" s="101">
        <v>1530</v>
      </c>
      <c r="J755" s="101">
        <v>570</v>
      </c>
      <c r="K755" s="101">
        <v>960</v>
      </c>
    </row>
    <row r="756" ht="13.95" spans="2:11">
      <c r="B756" s="107">
        <v>77</v>
      </c>
      <c r="C756" s="101">
        <v>3820</v>
      </c>
      <c r="D756" s="101">
        <v>1109</v>
      </c>
      <c r="E756" s="101">
        <v>2711</v>
      </c>
      <c r="F756" s="101">
        <v>3066</v>
      </c>
      <c r="G756" s="101">
        <v>857</v>
      </c>
      <c r="H756" s="101">
        <v>2209</v>
      </c>
      <c r="I756" s="101">
        <v>754</v>
      </c>
      <c r="J756" s="101">
        <v>252</v>
      </c>
      <c r="K756" s="101">
        <v>502</v>
      </c>
    </row>
    <row r="757" ht="13.95" spans="2:11">
      <c r="B757" s="107">
        <v>78</v>
      </c>
      <c r="C757" s="101">
        <v>2602</v>
      </c>
      <c r="D757" s="101">
        <v>796</v>
      </c>
      <c r="E757" s="101">
        <v>1806</v>
      </c>
      <c r="F757" s="101">
        <v>2057</v>
      </c>
      <c r="G757" s="101">
        <v>599</v>
      </c>
      <c r="H757" s="101">
        <v>1458</v>
      </c>
      <c r="I757" s="101">
        <v>545</v>
      </c>
      <c r="J757" s="101">
        <v>197</v>
      </c>
      <c r="K757" s="101">
        <v>348</v>
      </c>
    </row>
    <row r="758" ht="13.95" spans="2:11">
      <c r="B758" s="107">
        <v>79</v>
      </c>
      <c r="C758" s="101">
        <v>2143</v>
      </c>
      <c r="D758" s="101">
        <v>610</v>
      </c>
      <c r="E758" s="101">
        <v>1533</v>
      </c>
      <c r="F758" s="101">
        <v>1670</v>
      </c>
      <c r="G758" s="101">
        <v>468</v>
      </c>
      <c r="H758" s="101">
        <v>1202</v>
      </c>
      <c r="I758" s="101">
        <v>473</v>
      </c>
      <c r="J758" s="101">
        <v>142</v>
      </c>
      <c r="K758" s="101">
        <v>331</v>
      </c>
    </row>
    <row r="759" ht="13.95" spans="2:11">
      <c r="B759" s="115" t="s">
        <v>367</v>
      </c>
      <c r="C759" s="116">
        <v>22955</v>
      </c>
      <c r="D759" s="116">
        <v>7074</v>
      </c>
      <c r="E759" s="116">
        <v>15881</v>
      </c>
      <c r="F759" s="116">
        <v>17904</v>
      </c>
      <c r="G759" s="116">
        <v>5281</v>
      </c>
      <c r="H759" s="116">
        <v>12623</v>
      </c>
      <c r="I759" s="116">
        <v>5051</v>
      </c>
      <c r="J759" s="116">
        <v>1793</v>
      </c>
      <c r="K759" s="116">
        <v>3258</v>
      </c>
    </row>
    <row r="760" ht="13.95" spans="2:11">
      <c r="B760" s="107">
        <v>80</v>
      </c>
      <c r="C760" s="101">
        <v>3182</v>
      </c>
      <c r="D760" s="101">
        <v>845</v>
      </c>
      <c r="E760" s="101">
        <v>2337</v>
      </c>
      <c r="F760" s="101">
        <v>2452</v>
      </c>
      <c r="G760" s="101">
        <v>645</v>
      </c>
      <c r="H760" s="101">
        <v>1807</v>
      </c>
      <c r="I760" s="101">
        <v>730</v>
      </c>
      <c r="J760" s="101">
        <v>200</v>
      </c>
      <c r="K760" s="101">
        <v>530</v>
      </c>
    </row>
    <row r="761" ht="13.95" spans="2:11">
      <c r="B761" s="107">
        <v>81</v>
      </c>
      <c r="C761" s="101">
        <v>5136</v>
      </c>
      <c r="D761" s="101">
        <v>1293</v>
      </c>
      <c r="E761" s="101">
        <v>3843</v>
      </c>
      <c r="F761" s="101">
        <v>3899</v>
      </c>
      <c r="G761" s="101">
        <v>943</v>
      </c>
      <c r="H761" s="101">
        <v>2956</v>
      </c>
      <c r="I761" s="101">
        <v>1237</v>
      </c>
      <c r="J761" s="101">
        <v>350</v>
      </c>
      <c r="K761" s="101">
        <v>887</v>
      </c>
    </row>
    <row r="762" ht="13.95" spans="2:11">
      <c r="B762" s="107">
        <v>82</v>
      </c>
      <c r="C762" s="101">
        <v>4516</v>
      </c>
      <c r="D762" s="101">
        <v>1082</v>
      </c>
      <c r="E762" s="101">
        <v>3434</v>
      </c>
      <c r="F762" s="101">
        <v>3416</v>
      </c>
      <c r="G762" s="101">
        <v>761</v>
      </c>
      <c r="H762" s="101">
        <v>2655</v>
      </c>
      <c r="I762" s="101">
        <v>1100</v>
      </c>
      <c r="J762" s="101">
        <v>321</v>
      </c>
      <c r="K762" s="101">
        <v>779</v>
      </c>
    </row>
    <row r="763" ht="13.95" spans="2:11">
      <c r="B763" s="107">
        <v>83</v>
      </c>
      <c r="C763" s="101">
        <v>4679</v>
      </c>
      <c r="D763" s="101">
        <v>1049</v>
      </c>
      <c r="E763" s="101">
        <v>3630</v>
      </c>
      <c r="F763" s="101">
        <v>3595</v>
      </c>
      <c r="G763" s="101">
        <v>772</v>
      </c>
      <c r="H763" s="101">
        <v>2823</v>
      </c>
      <c r="I763" s="101">
        <v>1084</v>
      </c>
      <c r="J763" s="101">
        <v>277</v>
      </c>
      <c r="K763" s="101">
        <v>807</v>
      </c>
    </row>
    <row r="764" ht="13.95" spans="2:11">
      <c r="B764" s="107">
        <v>84</v>
      </c>
      <c r="C764" s="101">
        <v>4037</v>
      </c>
      <c r="D764" s="101">
        <v>961</v>
      </c>
      <c r="E764" s="101">
        <v>3076</v>
      </c>
      <c r="F764" s="101">
        <v>3029</v>
      </c>
      <c r="G764" s="101">
        <v>694</v>
      </c>
      <c r="H764" s="101">
        <v>2335</v>
      </c>
      <c r="I764" s="101">
        <v>1008</v>
      </c>
      <c r="J764" s="101">
        <v>267</v>
      </c>
      <c r="K764" s="101">
        <v>741</v>
      </c>
    </row>
    <row r="765" ht="13.95" spans="2:11">
      <c r="B765" s="115" t="s">
        <v>375</v>
      </c>
      <c r="C765" s="116">
        <v>21550</v>
      </c>
      <c r="D765" s="116">
        <v>5230</v>
      </c>
      <c r="E765" s="116">
        <v>16320</v>
      </c>
      <c r="F765" s="116">
        <v>16391</v>
      </c>
      <c r="G765" s="116">
        <v>3815</v>
      </c>
      <c r="H765" s="116">
        <v>12576</v>
      </c>
      <c r="I765" s="116">
        <v>5159</v>
      </c>
      <c r="J765" s="116">
        <v>1415</v>
      </c>
      <c r="K765" s="116">
        <v>3744</v>
      </c>
    </row>
    <row r="766" ht="13.95" spans="2:11">
      <c r="B766" s="107">
        <v>85</v>
      </c>
      <c r="C766" s="101">
        <v>3569</v>
      </c>
      <c r="D766" s="101">
        <v>839</v>
      </c>
      <c r="E766" s="101">
        <v>2730</v>
      </c>
      <c r="F766" s="101">
        <v>2662</v>
      </c>
      <c r="G766" s="101">
        <v>563</v>
      </c>
      <c r="H766" s="101">
        <v>2099</v>
      </c>
      <c r="I766" s="101">
        <v>907</v>
      </c>
      <c r="J766" s="101">
        <v>276</v>
      </c>
      <c r="K766" s="101">
        <v>631</v>
      </c>
    </row>
    <row r="767" ht="13.95" spans="2:11">
      <c r="B767" s="107">
        <v>86</v>
      </c>
      <c r="C767" s="101">
        <v>2373</v>
      </c>
      <c r="D767" s="101">
        <v>524</v>
      </c>
      <c r="E767" s="101">
        <v>1849</v>
      </c>
      <c r="F767" s="101">
        <v>1748</v>
      </c>
      <c r="G767" s="101">
        <v>368</v>
      </c>
      <c r="H767" s="101">
        <v>1380</v>
      </c>
      <c r="I767" s="101">
        <v>625</v>
      </c>
      <c r="J767" s="101">
        <v>156</v>
      </c>
      <c r="K767" s="101">
        <v>469</v>
      </c>
    </row>
    <row r="768" ht="13.95" spans="2:11">
      <c r="B768" s="107">
        <v>87</v>
      </c>
      <c r="C768" s="101">
        <v>1979</v>
      </c>
      <c r="D768" s="101">
        <v>409</v>
      </c>
      <c r="E768" s="101">
        <v>1570</v>
      </c>
      <c r="F768" s="101">
        <v>1418</v>
      </c>
      <c r="G768" s="101">
        <v>274</v>
      </c>
      <c r="H768" s="101">
        <v>1144</v>
      </c>
      <c r="I768" s="101">
        <v>561</v>
      </c>
      <c r="J768" s="101">
        <v>135</v>
      </c>
      <c r="K768" s="101">
        <v>426</v>
      </c>
    </row>
    <row r="769" ht="13.95" spans="2:11">
      <c r="B769" s="107">
        <v>88</v>
      </c>
      <c r="C769" s="101">
        <v>1434</v>
      </c>
      <c r="D769" s="101">
        <v>265</v>
      </c>
      <c r="E769" s="101">
        <v>1169</v>
      </c>
      <c r="F769" s="101">
        <v>994</v>
      </c>
      <c r="G769" s="101">
        <v>175</v>
      </c>
      <c r="H769" s="101">
        <v>819</v>
      </c>
      <c r="I769" s="101">
        <v>440</v>
      </c>
      <c r="J769" s="101">
        <v>90</v>
      </c>
      <c r="K769" s="101">
        <v>350</v>
      </c>
    </row>
    <row r="770" ht="13.95" spans="2:11">
      <c r="B770" s="107">
        <v>89</v>
      </c>
      <c r="C770" s="101">
        <v>1317</v>
      </c>
      <c r="D770" s="101">
        <v>235</v>
      </c>
      <c r="E770" s="101">
        <v>1082</v>
      </c>
      <c r="F770" s="101">
        <v>928</v>
      </c>
      <c r="G770" s="101">
        <v>157</v>
      </c>
      <c r="H770" s="101">
        <v>771</v>
      </c>
      <c r="I770" s="101">
        <v>389</v>
      </c>
      <c r="J770" s="101">
        <v>78</v>
      </c>
      <c r="K770" s="101">
        <v>311</v>
      </c>
    </row>
    <row r="771" ht="13.95" spans="2:11">
      <c r="B771" s="115" t="s">
        <v>376</v>
      </c>
      <c r="C771" s="116">
        <v>10672</v>
      </c>
      <c r="D771" s="116">
        <v>2272</v>
      </c>
      <c r="E771" s="116">
        <v>8400</v>
      </c>
      <c r="F771" s="116">
        <v>7750</v>
      </c>
      <c r="G771" s="116">
        <v>1537</v>
      </c>
      <c r="H771" s="116">
        <v>6213</v>
      </c>
      <c r="I771" s="116">
        <v>2922</v>
      </c>
      <c r="J771" s="116">
        <v>735</v>
      </c>
      <c r="K771" s="116">
        <v>2187</v>
      </c>
    </row>
    <row r="772" ht="13.95" spans="2:11">
      <c r="B772" s="107">
        <v>90</v>
      </c>
      <c r="C772" s="101">
        <v>1700</v>
      </c>
      <c r="D772" s="101">
        <v>289</v>
      </c>
      <c r="E772" s="101">
        <v>1411</v>
      </c>
      <c r="F772" s="101">
        <v>1257</v>
      </c>
      <c r="G772" s="101">
        <v>218</v>
      </c>
      <c r="H772" s="101">
        <v>1039</v>
      </c>
      <c r="I772" s="101">
        <v>443</v>
      </c>
      <c r="J772" s="101">
        <v>71</v>
      </c>
      <c r="K772" s="101">
        <v>372</v>
      </c>
    </row>
    <row r="773" ht="13.95" spans="2:11">
      <c r="B773" s="107">
        <v>91</v>
      </c>
      <c r="C773" s="101">
        <v>694</v>
      </c>
      <c r="D773" s="101">
        <v>145</v>
      </c>
      <c r="E773" s="101">
        <v>549</v>
      </c>
      <c r="F773" s="101">
        <v>467</v>
      </c>
      <c r="G773" s="101">
        <v>85</v>
      </c>
      <c r="H773" s="101">
        <v>382</v>
      </c>
      <c r="I773" s="101">
        <v>227</v>
      </c>
      <c r="J773" s="101">
        <v>60</v>
      </c>
      <c r="K773" s="101">
        <v>167</v>
      </c>
    </row>
    <row r="774" ht="13.95" spans="2:11">
      <c r="B774" s="107">
        <v>92</v>
      </c>
      <c r="C774" s="101">
        <v>359</v>
      </c>
      <c r="D774" s="101">
        <v>89</v>
      </c>
      <c r="E774" s="101">
        <v>270</v>
      </c>
      <c r="F774" s="101">
        <v>225</v>
      </c>
      <c r="G774" s="101">
        <v>39</v>
      </c>
      <c r="H774" s="101">
        <v>186</v>
      </c>
      <c r="I774" s="101">
        <v>134</v>
      </c>
      <c r="J774" s="101">
        <v>50</v>
      </c>
      <c r="K774" s="101">
        <v>84</v>
      </c>
    </row>
    <row r="775" ht="13.95" spans="2:11">
      <c r="B775" s="107">
        <v>93</v>
      </c>
      <c r="C775" s="101">
        <v>194</v>
      </c>
      <c r="D775" s="101">
        <v>50</v>
      </c>
      <c r="E775" s="101">
        <v>144</v>
      </c>
      <c r="F775" s="101">
        <v>127</v>
      </c>
      <c r="G775" s="101">
        <v>20</v>
      </c>
      <c r="H775" s="101">
        <v>107</v>
      </c>
      <c r="I775" s="101">
        <v>67</v>
      </c>
      <c r="J775" s="101">
        <v>30</v>
      </c>
      <c r="K775" s="101">
        <v>37</v>
      </c>
    </row>
    <row r="776" ht="13.95" spans="2:11">
      <c r="B776" s="107">
        <v>94</v>
      </c>
      <c r="C776" s="101">
        <v>169</v>
      </c>
      <c r="D776" s="101">
        <v>32</v>
      </c>
      <c r="E776" s="101">
        <v>137</v>
      </c>
      <c r="F776" s="101">
        <v>117</v>
      </c>
      <c r="G776" s="101">
        <v>20</v>
      </c>
      <c r="H776" s="101">
        <v>97</v>
      </c>
      <c r="I776" s="101">
        <v>52</v>
      </c>
      <c r="J776" s="101">
        <v>12</v>
      </c>
      <c r="K776" s="101">
        <v>40</v>
      </c>
    </row>
    <row r="777" ht="13.95" spans="2:11">
      <c r="B777" s="115" t="s">
        <v>377</v>
      </c>
      <c r="C777" s="116">
        <v>3116</v>
      </c>
      <c r="D777" s="116">
        <v>605</v>
      </c>
      <c r="E777" s="116">
        <v>2511</v>
      </c>
      <c r="F777" s="116">
        <v>2193</v>
      </c>
      <c r="G777" s="116">
        <v>382</v>
      </c>
      <c r="H777" s="116">
        <v>1811</v>
      </c>
      <c r="I777" s="116">
        <v>923</v>
      </c>
      <c r="J777" s="116">
        <v>223</v>
      </c>
      <c r="K777" s="116">
        <v>700</v>
      </c>
    </row>
    <row r="778" ht="13.95" spans="2:11">
      <c r="B778" s="107">
        <v>95</v>
      </c>
      <c r="C778" s="101">
        <v>102</v>
      </c>
      <c r="D778" s="101">
        <v>24</v>
      </c>
      <c r="E778" s="101">
        <v>78</v>
      </c>
      <c r="F778" s="101">
        <v>66</v>
      </c>
      <c r="G778" s="101">
        <v>10</v>
      </c>
      <c r="H778" s="101">
        <v>56</v>
      </c>
      <c r="I778" s="101">
        <v>36</v>
      </c>
      <c r="J778" s="101">
        <v>14</v>
      </c>
      <c r="K778" s="101">
        <v>22</v>
      </c>
    </row>
    <row r="779" ht="13.95" spans="2:11">
      <c r="B779" s="107">
        <v>96</v>
      </c>
      <c r="C779" s="101">
        <v>101</v>
      </c>
      <c r="D779" s="101">
        <v>37</v>
      </c>
      <c r="E779" s="101">
        <v>64</v>
      </c>
      <c r="F779" s="101">
        <v>45</v>
      </c>
      <c r="G779" s="101">
        <v>12</v>
      </c>
      <c r="H779" s="101">
        <v>33</v>
      </c>
      <c r="I779" s="101">
        <v>56</v>
      </c>
      <c r="J779" s="101">
        <v>25</v>
      </c>
      <c r="K779" s="101">
        <v>31</v>
      </c>
    </row>
    <row r="780" ht="13.95" spans="2:11">
      <c r="B780" s="107">
        <v>97</v>
      </c>
      <c r="C780" s="101">
        <v>60</v>
      </c>
      <c r="D780" s="101">
        <v>12</v>
      </c>
      <c r="E780" s="101">
        <v>48</v>
      </c>
      <c r="F780" s="101">
        <v>45</v>
      </c>
      <c r="G780" s="101">
        <v>6</v>
      </c>
      <c r="H780" s="101">
        <v>39</v>
      </c>
      <c r="I780" s="101">
        <v>15</v>
      </c>
      <c r="J780" s="101">
        <v>6</v>
      </c>
      <c r="K780" s="101">
        <v>9</v>
      </c>
    </row>
    <row r="781" ht="13.95" spans="2:11">
      <c r="B781" s="107">
        <v>98</v>
      </c>
      <c r="C781" s="101">
        <v>31</v>
      </c>
      <c r="D781" s="101">
        <v>8</v>
      </c>
      <c r="E781" s="101">
        <v>23</v>
      </c>
      <c r="F781" s="101">
        <v>21</v>
      </c>
      <c r="G781" s="101">
        <v>3</v>
      </c>
      <c r="H781" s="101">
        <v>18</v>
      </c>
      <c r="I781" s="101">
        <v>10</v>
      </c>
      <c r="J781" s="101">
        <v>5</v>
      </c>
      <c r="K781" s="101">
        <v>5</v>
      </c>
    </row>
    <row r="782" ht="13.95" spans="2:11">
      <c r="B782" s="107">
        <v>99</v>
      </c>
      <c r="C782" s="101">
        <v>20</v>
      </c>
      <c r="D782" s="101">
        <v>2</v>
      </c>
      <c r="E782" s="101">
        <v>18</v>
      </c>
      <c r="F782" s="101">
        <v>14</v>
      </c>
      <c r="G782" s="101">
        <v>1</v>
      </c>
      <c r="H782" s="101">
        <v>13</v>
      </c>
      <c r="I782" s="101">
        <v>6</v>
      </c>
      <c r="J782" s="101">
        <v>1</v>
      </c>
      <c r="K782" s="101">
        <v>5</v>
      </c>
    </row>
    <row r="783" ht="13.95" spans="2:11">
      <c r="B783" s="115" t="s">
        <v>378</v>
      </c>
      <c r="C783" s="116">
        <v>314</v>
      </c>
      <c r="D783" s="116">
        <v>83</v>
      </c>
      <c r="E783" s="116">
        <v>231</v>
      </c>
      <c r="F783" s="116">
        <v>191</v>
      </c>
      <c r="G783" s="116">
        <v>32</v>
      </c>
      <c r="H783" s="116">
        <v>159</v>
      </c>
      <c r="I783" s="116">
        <v>123</v>
      </c>
      <c r="J783" s="116">
        <v>51</v>
      </c>
      <c r="K783" s="116">
        <v>72</v>
      </c>
    </row>
    <row r="784" ht="13.95" spans="2:11">
      <c r="B784" s="115" t="s">
        <v>379</v>
      </c>
      <c r="C784" s="116">
        <v>28</v>
      </c>
      <c r="D784" s="116">
        <v>16</v>
      </c>
      <c r="E784" s="116">
        <v>12</v>
      </c>
      <c r="F784" s="116">
        <v>9</v>
      </c>
      <c r="G784" s="116" t="s">
        <v>15</v>
      </c>
      <c r="H784" s="116">
        <v>9</v>
      </c>
      <c r="I784" s="116">
        <v>19</v>
      </c>
      <c r="J784" s="116">
        <v>16</v>
      </c>
      <c r="K784" s="116">
        <v>3</v>
      </c>
    </row>
    <row r="785" ht="13.95" spans="2:11">
      <c r="B785" s="115" t="s">
        <v>103</v>
      </c>
      <c r="C785" s="116">
        <v>1005687</v>
      </c>
      <c r="D785" s="116">
        <v>465252</v>
      </c>
      <c r="E785" s="116">
        <v>540435</v>
      </c>
      <c r="F785" s="116">
        <v>781444</v>
      </c>
      <c r="G785" s="116">
        <v>356545</v>
      </c>
      <c r="H785" s="116">
        <v>424899</v>
      </c>
      <c r="I785" s="116">
        <v>224243</v>
      </c>
      <c r="J785" s="116">
        <v>108707</v>
      </c>
      <c r="K785" s="116">
        <v>115536</v>
      </c>
    </row>
    <row r="801" ht="48.6" spans="4:8">
      <c r="D801" s="119" t="s">
        <v>396</v>
      </c>
      <c r="E801" s="120"/>
      <c r="G801" s="121" t="s">
        <v>397</v>
      </c>
      <c r="H801" s="121" t="s">
        <v>398</v>
      </c>
    </row>
    <row r="802" ht="16.2" spans="4:8">
      <c r="D802" s="122">
        <v>46270</v>
      </c>
      <c r="E802" s="119" t="s">
        <v>399</v>
      </c>
      <c r="G802" s="119" t="s">
        <v>340</v>
      </c>
      <c r="H802" s="119" t="s">
        <v>396</v>
      </c>
    </row>
    <row r="803" ht="16.2" spans="4:8">
      <c r="D803" s="123">
        <v>41913</v>
      </c>
      <c r="E803" s="119" t="s">
        <v>400</v>
      </c>
      <c r="G803" s="122">
        <v>46270</v>
      </c>
      <c r="H803" s="119" t="s">
        <v>399</v>
      </c>
    </row>
    <row r="804" ht="16.2" spans="4:8">
      <c r="D804" s="119" t="s">
        <v>350</v>
      </c>
      <c r="E804" s="119" t="s">
        <v>401</v>
      </c>
      <c r="G804" s="123">
        <v>41913</v>
      </c>
      <c r="H804" s="119" t="s">
        <v>400</v>
      </c>
    </row>
    <row r="805" ht="16.2" spans="4:8">
      <c r="D805" s="119" t="s">
        <v>351</v>
      </c>
      <c r="E805" s="119" t="s">
        <v>402</v>
      </c>
      <c r="G805" s="119" t="s">
        <v>350</v>
      </c>
      <c r="H805" s="119" t="s">
        <v>401</v>
      </c>
    </row>
    <row r="806" ht="16.2" spans="4:8">
      <c r="D806" s="119" t="s">
        <v>352</v>
      </c>
      <c r="E806" s="119" t="s">
        <v>403</v>
      </c>
      <c r="G806" s="119" t="s">
        <v>351</v>
      </c>
      <c r="H806" s="119" t="s">
        <v>402</v>
      </c>
    </row>
    <row r="807" ht="16.2" spans="4:8">
      <c r="D807" s="119" t="s">
        <v>355</v>
      </c>
      <c r="E807" s="119" t="s">
        <v>404</v>
      </c>
      <c r="G807" s="119" t="s">
        <v>352</v>
      </c>
      <c r="H807" s="119" t="s">
        <v>403</v>
      </c>
    </row>
    <row r="808" ht="16.2" spans="4:8">
      <c r="D808" s="119" t="s">
        <v>357</v>
      </c>
      <c r="E808" s="119" t="s">
        <v>405</v>
      </c>
      <c r="G808" s="119" t="s">
        <v>355</v>
      </c>
      <c r="H808" s="119" t="s">
        <v>404</v>
      </c>
    </row>
    <row r="809" ht="16.2" spans="4:8">
      <c r="D809" s="119" t="s">
        <v>359</v>
      </c>
      <c r="E809" s="119" t="s">
        <v>406</v>
      </c>
      <c r="G809" s="119" t="s">
        <v>357</v>
      </c>
      <c r="H809" s="119" t="s">
        <v>405</v>
      </c>
    </row>
    <row r="810" ht="16.2" spans="4:8">
      <c r="D810" s="119" t="s">
        <v>360</v>
      </c>
      <c r="E810" s="119" t="s">
        <v>407</v>
      </c>
      <c r="G810" s="119" t="s">
        <v>359</v>
      </c>
      <c r="H810" s="119" t="s">
        <v>406</v>
      </c>
    </row>
    <row r="811" ht="16.2" spans="4:8">
      <c r="D811" s="119" t="s">
        <v>362</v>
      </c>
      <c r="E811" s="119" t="s">
        <v>408</v>
      </c>
      <c r="G811" s="119" t="s">
        <v>360</v>
      </c>
      <c r="H811" s="119" t="s">
        <v>407</v>
      </c>
    </row>
    <row r="812" ht="16.2" spans="4:8">
      <c r="D812" s="119" t="s">
        <v>363</v>
      </c>
      <c r="E812" s="119" t="s">
        <v>409</v>
      </c>
      <c r="G812" s="119" t="s">
        <v>362</v>
      </c>
      <c r="H812" s="119" t="s">
        <v>408</v>
      </c>
    </row>
    <row r="813" ht="16.2" spans="4:8">
      <c r="D813" s="119" t="s">
        <v>364</v>
      </c>
      <c r="E813" s="119" t="s">
        <v>410</v>
      </c>
      <c r="G813" s="119" t="s">
        <v>363</v>
      </c>
      <c r="H813" s="119" t="s">
        <v>409</v>
      </c>
    </row>
    <row r="814" ht="16.2" spans="4:8">
      <c r="D814" s="119" t="s">
        <v>365</v>
      </c>
      <c r="E814" s="119" t="s">
        <v>411</v>
      </c>
      <c r="G814" s="119" t="s">
        <v>364</v>
      </c>
      <c r="H814" s="119" t="s">
        <v>410</v>
      </c>
    </row>
    <row r="815" ht="16.2" spans="4:8">
      <c r="D815" s="119" t="s">
        <v>366</v>
      </c>
      <c r="E815" s="119" t="s">
        <v>412</v>
      </c>
      <c r="G815" s="119" t="s">
        <v>365</v>
      </c>
      <c r="H815" s="119" t="s">
        <v>411</v>
      </c>
    </row>
    <row r="816" ht="16.2" spans="4:8">
      <c r="D816" s="119" t="s">
        <v>367</v>
      </c>
      <c r="E816" s="119" t="s">
        <v>413</v>
      </c>
      <c r="G816" s="119" t="s">
        <v>366</v>
      </c>
      <c r="H816" s="119" t="s">
        <v>412</v>
      </c>
    </row>
    <row r="817" ht="16.2" spans="4:8">
      <c r="D817" s="119" t="s">
        <v>375</v>
      </c>
      <c r="E817" s="119" t="s">
        <v>414</v>
      </c>
      <c r="G817" s="119" t="s">
        <v>367</v>
      </c>
      <c r="H817" s="119" t="s">
        <v>413</v>
      </c>
    </row>
    <row r="818" ht="16.2" spans="4:8">
      <c r="D818" s="119" t="s">
        <v>376</v>
      </c>
      <c r="E818" s="119" t="s">
        <v>415</v>
      </c>
      <c r="G818" s="119" t="s">
        <v>375</v>
      </c>
      <c r="H818" s="119" t="s">
        <v>414</v>
      </c>
    </row>
    <row r="819" ht="16.2" spans="4:8">
      <c r="G819" s="119" t="s">
        <v>376</v>
      </c>
      <c r="H819" s="119" t="s">
        <v>415</v>
      </c>
    </row>
  </sheetData>
  <mergeCells count="210">
    <mergeCell ref="A2:Z2"/>
    <mergeCell ref="A4:C4"/>
    <mergeCell ref="A21:Z21"/>
    <mergeCell ref="A23:C23"/>
    <mergeCell ref="A36:Z36"/>
    <mergeCell ref="A38:C38"/>
    <mergeCell ref="A48:D48"/>
    <mergeCell ref="A58:E58"/>
    <mergeCell ref="A70:Z70"/>
    <mergeCell ref="A85:Z85"/>
    <mergeCell ref="A87:C87"/>
    <mergeCell ref="A99:J99"/>
    <mergeCell ref="A100:J100"/>
    <mergeCell ref="A101:J101"/>
    <mergeCell ref="B103:D103"/>
    <mergeCell ref="E103:G103"/>
    <mergeCell ref="H103:J103"/>
    <mergeCell ref="A215:Z215"/>
    <mergeCell ref="A217:B217"/>
    <mergeCell ref="A226:Z226"/>
    <mergeCell ref="A228:B228"/>
    <mergeCell ref="A244:Z244"/>
    <mergeCell ref="A268:Z268"/>
    <mergeCell ref="A270:B270"/>
    <mergeCell ref="A274:Z274"/>
    <mergeCell ref="A276:B276"/>
    <mergeCell ref="A288:Z288"/>
    <mergeCell ref="A290:C290"/>
    <mergeCell ref="B301:K301"/>
    <mergeCell ref="B302:K302"/>
    <mergeCell ref="B304:K304"/>
    <mergeCell ref="B432:K432"/>
    <mergeCell ref="B433:K433"/>
    <mergeCell ref="B434:K434"/>
    <mergeCell ref="C435:E435"/>
    <mergeCell ref="F435:H435"/>
    <mergeCell ref="I435:K435"/>
    <mergeCell ref="B466:K466"/>
    <mergeCell ref="B467:K467"/>
    <mergeCell ref="B470:K470"/>
    <mergeCell ref="B471:K471"/>
    <mergeCell ref="B472:K472"/>
    <mergeCell ref="C473:E473"/>
    <mergeCell ref="F473:H473"/>
    <mergeCell ref="I473:K473"/>
    <mergeCell ref="B504:K504"/>
    <mergeCell ref="B505:K505"/>
    <mergeCell ref="B509:K509"/>
    <mergeCell ref="B510:K510"/>
    <mergeCell ref="B511:K511"/>
    <mergeCell ref="C512:E512"/>
    <mergeCell ref="F512:H512"/>
    <mergeCell ref="I512:K512"/>
    <mergeCell ref="B545:K545"/>
    <mergeCell ref="B546:K546"/>
    <mergeCell ref="B547:K547"/>
    <mergeCell ref="C548:E548"/>
    <mergeCell ref="F548:H548"/>
    <mergeCell ref="I548:K548"/>
    <mergeCell ref="B579:K579"/>
    <mergeCell ref="B580:K580"/>
    <mergeCell ref="B584:K584"/>
    <mergeCell ref="B585:K585"/>
    <mergeCell ref="B586:K586"/>
    <mergeCell ref="C587:E587"/>
    <mergeCell ref="F587:H587"/>
    <mergeCell ref="I587:K587"/>
    <mergeCell ref="B620:K620"/>
    <mergeCell ref="B621:K621"/>
    <mergeCell ref="B622:K622"/>
    <mergeCell ref="C623:E623"/>
    <mergeCell ref="F623:H623"/>
    <mergeCell ref="I623:K623"/>
    <mergeCell ref="B656:K656"/>
    <mergeCell ref="B657:K657"/>
    <mergeCell ref="B658:K658"/>
    <mergeCell ref="B659:K659"/>
    <mergeCell ref="B660:K660"/>
    <mergeCell ref="C661:E661"/>
    <mergeCell ref="F661:H661"/>
    <mergeCell ref="I661:K661"/>
    <mergeCell ref="A5:A12"/>
    <mergeCell ref="A24:A32"/>
    <mergeCell ref="A72:A73"/>
    <mergeCell ref="A88:A95"/>
    <mergeCell ref="A103:A104"/>
    <mergeCell ref="A229:A230"/>
    <mergeCell ref="A231:A232"/>
    <mergeCell ref="A233:A234"/>
    <mergeCell ref="A235:A236"/>
    <mergeCell ref="A237:A238"/>
    <mergeCell ref="A239:A240"/>
    <mergeCell ref="A246:A247"/>
    <mergeCell ref="A258:A265"/>
    <mergeCell ref="A291:A298"/>
    <mergeCell ref="B5:B12"/>
    <mergeCell ref="B24:B32"/>
    <mergeCell ref="B88:B95"/>
    <mergeCell ref="B291:B298"/>
    <mergeCell ref="B306:B308"/>
    <mergeCell ref="B435:B437"/>
    <mergeCell ref="B473:B475"/>
    <mergeCell ref="B512:B514"/>
    <mergeCell ref="B548:B550"/>
    <mergeCell ref="B587:B589"/>
    <mergeCell ref="B623:B625"/>
    <mergeCell ref="B661:B663"/>
    <mergeCell ref="C439:C440"/>
    <mergeCell ref="C477:C478"/>
    <mergeCell ref="C516:C517"/>
    <mergeCell ref="C552:C553"/>
    <mergeCell ref="C591:C592"/>
    <mergeCell ref="C627:C628"/>
    <mergeCell ref="D307:D308"/>
    <mergeCell ref="D436:D437"/>
    <mergeCell ref="D439:D440"/>
    <mergeCell ref="D474:D475"/>
    <mergeCell ref="D477:D478"/>
    <mergeCell ref="D513:D514"/>
    <mergeCell ref="D516:D517"/>
    <mergeCell ref="D549:D550"/>
    <mergeCell ref="D552:D553"/>
    <mergeCell ref="D588:D589"/>
    <mergeCell ref="D591:D592"/>
    <mergeCell ref="D624:D625"/>
    <mergeCell ref="D627:D628"/>
    <mergeCell ref="D662:D663"/>
    <mergeCell ref="E307:E308"/>
    <mergeCell ref="E436:E437"/>
    <mergeCell ref="E439:E440"/>
    <mergeCell ref="E474:E475"/>
    <mergeCell ref="E477:E478"/>
    <mergeCell ref="E513:E514"/>
    <mergeCell ref="E516:E517"/>
    <mergeCell ref="E549:E550"/>
    <mergeCell ref="E552:E553"/>
    <mergeCell ref="E588:E589"/>
    <mergeCell ref="E591:E592"/>
    <mergeCell ref="E624:E625"/>
    <mergeCell ref="E627:E628"/>
    <mergeCell ref="E662:E663"/>
    <mergeCell ref="F439:F440"/>
    <mergeCell ref="F477:F478"/>
    <mergeCell ref="F516:F517"/>
    <mergeCell ref="F552:F553"/>
    <mergeCell ref="F591:F592"/>
    <mergeCell ref="F627:F628"/>
    <mergeCell ref="G307:G308"/>
    <mergeCell ref="G436:G437"/>
    <mergeCell ref="G439:G440"/>
    <mergeCell ref="G474:G475"/>
    <mergeCell ref="G477:G478"/>
    <mergeCell ref="G513:G514"/>
    <mergeCell ref="G516:G517"/>
    <mergeCell ref="G549:G550"/>
    <mergeCell ref="G552:G553"/>
    <mergeCell ref="G588:G589"/>
    <mergeCell ref="G591:G592"/>
    <mergeCell ref="G624:G625"/>
    <mergeCell ref="G627:G628"/>
    <mergeCell ref="G662:G663"/>
    <mergeCell ref="H307:H308"/>
    <mergeCell ref="H436:H437"/>
    <mergeCell ref="H439:H440"/>
    <mergeCell ref="H474:H475"/>
    <mergeCell ref="H477:H478"/>
    <mergeCell ref="H513:H514"/>
    <mergeCell ref="H516:H517"/>
    <mergeCell ref="H549:H550"/>
    <mergeCell ref="H552:H553"/>
    <mergeCell ref="H588:H589"/>
    <mergeCell ref="H591:H592"/>
    <mergeCell ref="H624:H625"/>
    <mergeCell ref="H627:H628"/>
    <mergeCell ref="H662:H663"/>
    <mergeCell ref="I439:I440"/>
    <mergeCell ref="I477:I478"/>
    <mergeCell ref="I516:I517"/>
    <mergeCell ref="I552:I553"/>
    <mergeCell ref="I591:I592"/>
    <mergeCell ref="I627:I628"/>
    <mergeCell ref="J307:J308"/>
    <mergeCell ref="J436:J437"/>
    <mergeCell ref="J439:J440"/>
    <mergeCell ref="J474:J475"/>
    <mergeCell ref="J477:J478"/>
    <mergeCell ref="J513:J514"/>
    <mergeCell ref="J516:J517"/>
    <mergeCell ref="J549:J550"/>
    <mergeCell ref="J552:J553"/>
    <mergeCell ref="J588:J589"/>
    <mergeCell ref="J591:J592"/>
    <mergeCell ref="J624:J625"/>
    <mergeCell ref="J627:J628"/>
    <mergeCell ref="J662:J663"/>
    <mergeCell ref="K307:K308"/>
    <mergeCell ref="K436:K437"/>
    <mergeCell ref="K439:K440"/>
    <mergeCell ref="K474:K475"/>
    <mergeCell ref="K477:K478"/>
    <mergeCell ref="K513:K514"/>
    <mergeCell ref="K516:K517"/>
    <mergeCell ref="K549:K550"/>
    <mergeCell ref="K552:K553"/>
    <mergeCell ref="K588:K589"/>
    <mergeCell ref="K591:K592"/>
    <mergeCell ref="K624:K625"/>
    <mergeCell ref="K627:K628"/>
    <mergeCell ref="K662:K663"/>
    <mergeCell ref="A256:B25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6</vt:i4>
      </vt:variant>
    </vt:vector>
  </HeadingPairs>
  <TitlesOfParts>
    <vt:vector size="6" baseType="lpstr">
      <vt:lpstr>Задание 1</vt:lpstr>
      <vt:lpstr>Задание 2</vt:lpstr>
      <vt:lpstr>Задание 3</vt:lpstr>
      <vt:lpstr>Задание  4</vt:lpstr>
      <vt:lpstr>Задание 5</vt:lpstr>
      <vt:lpstr>Приложение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WPS_1743593392</cp:lastModifiedBy>
  <dcterms:created xsi:type="dcterms:W3CDTF">2026-04-27T14:11:00Z</dcterms:created>
  <dcterms:modified xsi:type="dcterms:W3CDTF">2026-05-07T10:14:17Z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14574DC0552549F5A571D1B60366FB12_13</vt:lpwstr>
  </property>
  <property fmtid="{D5CDD505-2E9C-101B-9397-08002B2CF9AE}" pid="3" name="KSOProductBuildVer">
    <vt:lpwstr>1049-12.1.0.25862</vt:lpwstr>
  </property>
  <property fmtid="{D5CDD505-2E9C-101B-9397-08002B2CF9AE}" pid="4" name="CalculationRule">
    <vt:i4>0</vt:i4>
  </property>
</Properties>
</file>